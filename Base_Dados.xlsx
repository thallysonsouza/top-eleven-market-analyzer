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1c2f77865211bf/Desktop/"/>
    </mc:Choice>
  </mc:AlternateContent>
  <xr:revisionPtr revIDLastSave="6" documentId="8_{0D8BB272-B456-4748-BC42-231CD2FB521B}" xr6:coauthVersionLast="47" xr6:coauthVersionMax="47" xr10:uidLastSave="{E916EE13-352D-486C-BB5D-3AF9F0017819}"/>
  <bookViews>
    <workbookView xWindow="-120" yWindow="-120" windowWidth="20730" windowHeight="11760" xr2:uid="{58AD0CFC-B4E4-4B0B-B3E1-70EC2F644987}"/>
  </bookViews>
  <sheets>
    <sheet name="DADOS BRUTOS" sheetId="10" r:id="rId1"/>
    <sheet name="CURVAS" sheetId="11" r:id="rId2"/>
    <sheet name="SIMULADOR" sheetId="7" r:id="rId3"/>
  </sheets>
  <externalReferences>
    <externalReference r:id="rId4"/>
  </externalReferences>
  <definedNames>
    <definedName name="coef_18_0">'[1]18 anos'!$V$13</definedName>
    <definedName name="coef_18_1">'[1]18 anos'!$V$12</definedName>
    <definedName name="coef_18_2">'[1]18 anos'!$V$11</definedName>
    <definedName name="coef_18_3">'[1]18 anos'!$V$10</definedName>
    <definedName name="coef_19_0">'[1]19 anos'!$Y$16</definedName>
    <definedName name="coef_19_1">'[1]19 anos'!$Y$15</definedName>
    <definedName name="coef_19_2">'[1]19 anos'!$Y$14</definedName>
    <definedName name="coef_19_3">'[1]19 anos'!$Y$13</definedName>
    <definedName name="coef_20_0">'[1]20 anos'!$X$15</definedName>
    <definedName name="coef_20_1">'[1]20 anos'!$X$14</definedName>
    <definedName name="coef_20_2">'[1]20 anos'!$X$13</definedName>
    <definedName name="coef_20_3">'[1]20 anos'!$X$12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36" i="10" l="1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635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424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213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" i="10"/>
  <c r="P8" i="7"/>
  <c r="C845" i="10"/>
  <c r="C844" i="10"/>
  <c r="C843" i="10"/>
  <c r="C842" i="10"/>
  <c r="C841" i="10"/>
  <c r="C840" i="10"/>
  <c r="C839" i="10"/>
  <c r="C838" i="10"/>
  <c r="C837" i="10"/>
  <c r="C836" i="10"/>
  <c r="C835" i="10"/>
  <c r="C834" i="10"/>
  <c r="C833" i="10"/>
  <c r="C832" i="10"/>
  <c r="C831" i="10"/>
  <c r="C830" i="10"/>
  <c r="C829" i="10"/>
  <c r="C828" i="10"/>
  <c r="C827" i="10"/>
  <c r="C826" i="10"/>
  <c r="C825" i="10"/>
  <c r="C824" i="10"/>
  <c r="C823" i="10"/>
  <c r="C822" i="10"/>
  <c r="C821" i="10"/>
  <c r="C820" i="10"/>
  <c r="C819" i="10"/>
  <c r="C818" i="10"/>
  <c r="C817" i="10"/>
  <c r="C816" i="10"/>
  <c r="C815" i="10"/>
  <c r="C814" i="10"/>
  <c r="C813" i="10"/>
  <c r="C812" i="10"/>
  <c r="C811" i="10"/>
  <c r="C810" i="10"/>
  <c r="C809" i="10"/>
  <c r="C808" i="10"/>
  <c r="C807" i="10"/>
  <c r="C806" i="10"/>
  <c r="C805" i="10"/>
  <c r="C804" i="10"/>
  <c r="C803" i="10"/>
  <c r="C802" i="10"/>
  <c r="C801" i="10"/>
  <c r="C800" i="10"/>
  <c r="C799" i="10"/>
  <c r="C798" i="10"/>
  <c r="C797" i="10"/>
  <c r="C796" i="10"/>
  <c r="C795" i="10"/>
  <c r="C794" i="10"/>
  <c r="C793" i="10"/>
  <c r="C792" i="10"/>
  <c r="C791" i="10"/>
  <c r="C790" i="10"/>
  <c r="C789" i="10"/>
  <c r="C788" i="10"/>
  <c r="C787" i="10"/>
  <c r="C786" i="10"/>
  <c r="C785" i="10"/>
  <c r="C784" i="10"/>
  <c r="C783" i="10"/>
  <c r="C782" i="10"/>
  <c r="C781" i="10"/>
  <c r="C780" i="10"/>
  <c r="C779" i="10"/>
  <c r="C778" i="10"/>
  <c r="C777" i="10"/>
  <c r="C776" i="10"/>
  <c r="C775" i="10"/>
  <c r="C774" i="10"/>
  <c r="C773" i="10"/>
  <c r="C772" i="10"/>
  <c r="C771" i="10"/>
  <c r="C770" i="10"/>
  <c r="C769" i="10"/>
  <c r="C768" i="10"/>
  <c r="C767" i="10"/>
  <c r="C766" i="10"/>
  <c r="C765" i="10"/>
  <c r="C764" i="10"/>
  <c r="C763" i="10"/>
  <c r="C762" i="10"/>
  <c r="C761" i="10"/>
  <c r="C760" i="10"/>
  <c r="C759" i="10"/>
  <c r="C758" i="10"/>
  <c r="C757" i="10"/>
  <c r="C756" i="10"/>
  <c r="C755" i="10"/>
  <c r="C754" i="10"/>
  <c r="C753" i="10"/>
  <c r="C752" i="10"/>
  <c r="C751" i="10"/>
  <c r="C750" i="10"/>
  <c r="C749" i="10"/>
  <c r="C748" i="10"/>
  <c r="C747" i="10"/>
  <c r="C746" i="10"/>
  <c r="C745" i="10"/>
  <c r="C744" i="10"/>
  <c r="C743" i="10"/>
  <c r="C742" i="10"/>
  <c r="C741" i="10"/>
  <c r="C740" i="10"/>
  <c r="C739" i="10"/>
  <c r="C738" i="10"/>
  <c r="C737" i="10"/>
  <c r="C736" i="10"/>
  <c r="C735" i="10"/>
  <c r="C734" i="10"/>
  <c r="C733" i="10"/>
  <c r="C732" i="10"/>
  <c r="C731" i="10"/>
  <c r="C730" i="10"/>
  <c r="C729" i="10"/>
  <c r="C728" i="10"/>
  <c r="C727" i="10"/>
  <c r="C726" i="10"/>
  <c r="C725" i="10"/>
  <c r="C724" i="10"/>
  <c r="C723" i="10"/>
  <c r="C722" i="10"/>
  <c r="C721" i="10"/>
  <c r="C720" i="10"/>
  <c r="C719" i="10"/>
  <c r="C718" i="10"/>
  <c r="C717" i="10"/>
  <c r="C716" i="10"/>
  <c r="C715" i="10"/>
  <c r="C714" i="10"/>
  <c r="C713" i="10"/>
  <c r="C712" i="10"/>
  <c r="C711" i="10"/>
  <c r="C710" i="10"/>
  <c r="C709" i="10"/>
  <c r="C708" i="10"/>
  <c r="C707" i="10"/>
  <c r="C706" i="10"/>
  <c r="C705" i="10"/>
  <c r="C704" i="10"/>
  <c r="C703" i="10"/>
  <c r="C702" i="10"/>
  <c r="C701" i="10"/>
  <c r="C700" i="10"/>
  <c r="C699" i="10"/>
  <c r="C698" i="10"/>
  <c r="C697" i="10"/>
  <c r="C696" i="10"/>
  <c r="C695" i="10"/>
  <c r="C694" i="10"/>
  <c r="C693" i="10"/>
  <c r="C692" i="10"/>
  <c r="C691" i="10"/>
  <c r="C690" i="10"/>
  <c r="C689" i="10"/>
  <c r="C688" i="10"/>
  <c r="C687" i="10"/>
  <c r="C686" i="10"/>
  <c r="C685" i="10"/>
  <c r="P9" i="7"/>
  <c r="P10" i="7" s="1"/>
  <c r="C684" i="10"/>
  <c r="C683" i="10"/>
  <c r="C682" i="10"/>
  <c r="C681" i="10"/>
  <c r="C680" i="10"/>
  <c r="C679" i="10"/>
  <c r="C678" i="10"/>
  <c r="C677" i="10"/>
  <c r="C676" i="10"/>
  <c r="C675" i="10"/>
  <c r="C674" i="10"/>
  <c r="C673" i="10"/>
  <c r="C672" i="10"/>
  <c r="C671" i="10"/>
  <c r="C670" i="10"/>
  <c r="C669" i="10"/>
  <c r="C668" i="10"/>
  <c r="C667" i="10"/>
  <c r="C666" i="10"/>
  <c r="C665" i="10"/>
  <c r="C664" i="10"/>
  <c r="C663" i="10"/>
  <c r="C662" i="10"/>
  <c r="C661" i="10"/>
  <c r="C660" i="10"/>
  <c r="C659" i="10"/>
  <c r="C658" i="10"/>
  <c r="C657" i="10"/>
  <c r="C656" i="10"/>
  <c r="C655" i="10"/>
  <c r="C654" i="10"/>
  <c r="C653" i="10"/>
  <c r="C652" i="10"/>
  <c r="C651" i="10"/>
  <c r="C650" i="10"/>
  <c r="C649" i="10"/>
  <c r="C648" i="10"/>
  <c r="C647" i="10"/>
  <c r="C646" i="10"/>
  <c r="C645" i="10"/>
  <c r="C644" i="10"/>
  <c r="C643" i="10"/>
  <c r="C642" i="10"/>
  <c r="C641" i="10"/>
  <c r="C429" i="10"/>
  <c r="C640" i="10" s="1"/>
  <c r="C428" i="10"/>
  <c r="C639" i="10" s="1"/>
  <c r="C427" i="10"/>
  <c r="C638" i="10" s="1"/>
  <c r="C426" i="10"/>
  <c r="C637" i="10" s="1"/>
  <c r="C425" i="10"/>
  <c r="C636" i="10" s="1"/>
  <c r="C424" i="10"/>
  <c r="C635" i="10" s="1"/>
  <c r="H12" i="7" l="1"/>
  <c r="O12" i="7" s="1"/>
</calcChain>
</file>

<file path=xl/sharedStrings.xml><?xml version="1.0" encoding="utf-8"?>
<sst xmlns="http://schemas.openxmlformats.org/spreadsheetml/2006/main" count="20" uniqueCount="18">
  <si>
    <t>Idade</t>
  </si>
  <si>
    <t>GRL</t>
  </si>
  <si>
    <t>Coeficientes</t>
  </si>
  <si>
    <t>⚽ TOP ELEVEN MARKET ANALYZER</t>
  </si>
  <si>
    <t xml:space="preserve"> Simulador de Leilão para jogadores 18-21 anos</t>
  </si>
  <si>
    <t>DADOS DO JOGADOR</t>
  </si>
  <si>
    <t>RESULTADOS</t>
  </si>
  <si>
    <t>NÍVEL DA CONTA</t>
  </si>
  <si>
    <t>VALOR DE MERCADO (M)</t>
  </si>
  <si>
    <t>IDADE DO JOGADOR (ANOS)</t>
  </si>
  <si>
    <t>NÍVEL DA CONTA BASE</t>
  </si>
  <si>
    <t>SCORE</t>
  </si>
  <si>
    <t>CLASSIFICAÇÃO:</t>
  </si>
  <si>
    <t>GLR DA CONTA BASE</t>
  </si>
  <si>
    <t>PREÇO JUSTO (M)</t>
  </si>
  <si>
    <t>Desenvolvido por Thallyson Souza</t>
  </si>
  <si>
    <t>Valor de Mercado 1</t>
  </si>
  <si>
    <t>Valor de Mercado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</si>
</sst>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E+00"/>
    <numFmt numFmtId="165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name val="Arial"/>
      <family val="2"/>
    </font>
    <font>
      <sz val="12"/>
      <name val="Times New Roman"/>
      <family val="1"/>
    </font>
    <font>
      <sz val="11"/>
      <color theme="0" tint="-0.499984740745262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24"/>
      <color theme="0"/>
      <name val="Times New Roman"/>
      <family val="1"/>
    </font>
    <font>
      <sz val="14"/>
      <color theme="0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sz val="11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5" borderId="0" xfId="0" applyFill="1"/>
    <xf numFmtId="0" fontId="2" fillId="5" borderId="0" xfId="0" applyFont="1" applyFill="1" applyAlignment="1">
      <alignment horizontal="center" vertical="center"/>
    </xf>
    <xf numFmtId="0" fontId="2" fillId="5" borderId="0" xfId="0" applyFont="1" applyFill="1"/>
    <xf numFmtId="9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9" fontId="8" fillId="5" borderId="0" xfId="0" applyNumberFormat="1" applyFont="1" applyFill="1" applyAlignment="1">
      <alignment horizontal="center" vertical="center"/>
    </xf>
    <xf numFmtId="0" fontId="6" fillId="5" borderId="0" xfId="0" applyFont="1" applyFill="1"/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65" fontId="4" fillId="0" borderId="2" xfId="1" applyNumberFormat="1" applyFont="1" applyFill="1" applyBorder="1" applyAlignment="1" applyProtection="1">
      <alignment horizontal="center" vertical="center"/>
    </xf>
    <xf numFmtId="165" fontId="4" fillId="0" borderId="0" xfId="1" applyNumberFormat="1" applyFont="1" applyFill="1" applyBorder="1" applyAlignment="1" applyProtection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/>
    </xf>
    <xf numFmtId="0" fontId="4" fillId="3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>
      <alignment horizontal="center" vertical="center"/>
    </xf>
    <xf numFmtId="0" fontId="4" fillId="3" borderId="2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2" fontId="4" fillId="3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</cellXfs>
  <cellStyles count="2">
    <cellStyle name="Normal" xfId="0" builtinId="0"/>
    <cellStyle name="Porcentagem" xfId="1" builtinId="5"/>
  </cellStyles>
  <dxfs count="12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18</a:t>
            </a:r>
            <a:r>
              <a:rPr lang="pt-BR" baseline="0"/>
              <a:t> ANOS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'DADOS BRUTOS'!$B$2:$B$212</c:f>
              <c:numCache>
                <c:formatCode>General</c:formatCode>
                <c:ptCount val="211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  <c:pt idx="15">
                  <c:v>55</c:v>
                </c:pt>
                <c:pt idx="16">
                  <c:v>56</c:v>
                </c:pt>
                <c:pt idx="17">
                  <c:v>57</c:v>
                </c:pt>
                <c:pt idx="18">
                  <c:v>58</c:v>
                </c:pt>
                <c:pt idx="19">
                  <c:v>59</c:v>
                </c:pt>
                <c:pt idx="20">
                  <c:v>60</c:v>
                </c:pt>
                <c:pt idx="21">
                  <c:v>61</c:v>
                </c:pt>
                <c:pt idx="22">
                  <c:v>62</c:v>
                </c:pt>
                <c:pt idx="23">
                  <c:v>63</c:v>
                </c:pt>
                <c:pt idx="24">
                  <c:v>64</c:v>
                </c:pt>
                <c:pt idx="25">
                  <c:v>65</c:v>
                </c:pt>
                <c:pt idx="26">
                  <c:v>66</c:v>
                </c:pt>
                <c:pt idx="27">
                  <c:v>67</c:v>
                </c:pt>
                <c:pt idx="28">
                  <c:v>68</c:v>
                </c:pt>
                <c:pt idx="29">
                  <c:v>69</c:v>
                </c:pt>
                <c:pt idx="30">
                  <c:v>70</c:v>
                </c:pt>
                <c:pt idx="31">
                  <c:v>71</c:v>
                </c:pt>
                <c:pt idx="32">
                  <c:v>72</c:v>
                </c:pt>
                <c:pt idx="33">
                  <c:v>73</c:v>
                </c:pt>
                <c:pt idx="34">
                  <c:v>74</c:v>
                </c:pt>
                <c:pt idx="35">
                  <c:v>75</c:v>
                </c:pt>
                <c:pt idx="36">
                  <c:v>76</c:v>
                </c:pt>
                <c:pt idx="37">
                  <c:v>77</c:v>
                </c:pt>
                <c:pt idx="38">
                  <c:v>78</c:v>
                </c:pt>
                <c:pt idx="39">
                  <c:v>79</c:v>
                </c:pt>
                <c:pt idx="40">
                  <c:v>80</c:v>
                </c:pt>
                <c:pt idx="41">
                  <c:v>81</c:v>
                </c:pt>
                <c:pt idx="42">
                  <c:v>82</c:v>
                </c:pt>
                <c:pt idx="43">
                  <c:v>83</c:v>
                </c:pt>
                <c:pt idx="44">
                  <c:v>84</c:v>
                </c:pt>
                <c:pt idx="45">
                  <c:v>85</c:v>
                </c:pt>
                <c:pt idx="46">
                  <c:v>86</c:v>
                </c:pt>
                <c:pt idx="47">
                  <c:v>87</c:v>
                </c:pt>
                <c:pt idx="48">
                  <c:v>88</c:v>
                </c:pt>
                <c:pt idx="49">
                  <c:v>89</c:v>
                </c:pt>
                <c:pt idx="50">
                  <c:v>90</c:v>
                </c:pt>
                <c:pt idx="51">
                  <c:v>91</c:v>
                </c:pt>
                <c:pt idx="52">
                  <c:v>92</c:v>
                </c:pt>
                <c:pt idx="53">
                  <c:v>93</c:v>
                </c:pt>
                <c:pt idx="54">
                  <c:v>94</c:v>
                </c:pt>
                <c:pt idx="55">
                  <c:v>95</c:v>
                </c:pt>
                <c:pt idx="56">
                  <c:v>96</c:v>
                </c:pt>
                <c:pt idx="57">
                  <c:v>97</c:v>
                </c:pt>
                <c:pt idx="58">
                  <c:v>98</c:v>
                </c:pt>
                <c:pt idx="59">
                  <c:v>99</c:v>
                </c:pt>
                <c:pt idx="60">
                  <c:v>100</c:v>
                </c:pt>
                <c:pt idx="61">
                  <c:v>101</c:v>
                </c:pt>
                <c:pt idx="62">
                  <c:v>102</c:v>
                </c:pt>
                <c:pt idx="63">
                  <c:v>103</c:v>
                </c:pt>
                <c:pt idx="64">
                  <c:v>104</c:v>
                </c:pt>
                <c:pt idx="65">
                  <c:v>105</c:v>
                </c:pt>
                <c:pt idx="66">
                  <c:v>106</c:v>
                </c:pt>
                <c:pt idx="67">
                  <c:v>107</c:v>
                </c:pt>
                <c:pt idx="68">
                  <c:v>108</c:v>
                </c:pt>
                <c:pt idx="69">
                  <c:v>109</c:v>
                </c:pt>
                <c:pt idx="70">
                  <c:v>110</c:v>
                </c:pt>
                <c:pt idx="71">
                  <c:v>111</c:v>
                </c:pt>
                <c:pt idx="72">
                  <c:v>112</c:v>
                </c:pt>
                <c:pt idx="73">
                  <c:v>113</c:v>
                </c:pt>
                <c:pt idx="74">
                  <c:v>114</c:v>
                </c:pt>
                <c:pt idx="75">
                  <c:v>115</c:v>
                </c:pt>
                <c:pt idx="76">
                  <c:v>116</c:v>
                </c:pt>
                <c:pt idx="77">
                  <c:v>117</c:v>
                </c:pt>
                <c:pt idx="78">
                  <c:v>118</c:v>
                </c:pt>
                <c:pt idx="79">
                  <c:v>119</c:v>
                </c:pt>
                <c:pt idx="80">
                  <c:v>120</c:v>
                </c:pt>
                <c:pt idx="81">
                  <c:v>121</c:v>
                </c:pt>
                <c:pt idx="82">
                  <c:v>122</c:v>
                </c:pt>
                <c:pt idx="83">
                  <c:v>123</c:v>
                </c:pt>
                <c:pt idx="84">
                  <c:v>124</c:v>
                </c:pt>
                <c:pt idx="85">
                  <c:v>125</c:v>
                </c:pt>
                <c:pt idx="86">
                  <c:v>126</c:v>
                </c:pt>
                <c:pt idx="87">
                  <c:v>127</c:v>
                </c:pt>
                <c:pt idx="88">
                  <c:v>128</c:v>
                </c:pt>
                <c:pt idx="89">
                  <c:v>129</c:v>
                </c:pt>
                <c:pt idx="90">
                  <c:v>130</c:v>
                </c:pt>
                <c:pt idx="91">
                  <c:v>131</c:v>
                </c:pt>
                <c:pt idx="92">
                  <c:v>132</c:v>
                </c:pt>
                <c:pt idx="93">
                  <c:v>133</c:v>
                </c:pt>
                <c:pt idx="94">
                  <c:v>134</c:v>
                </c:pt>
                <c:pt idx="95">
                  <c:v>135</c:v>
                </c:pt>
                <c:pt idx="96">
                  <c:v>136</c:v>
                </c:pt>
                <c:pt idx="97">
                  <c:v>137</c:v>
                </c:pt>
                <c:pt idx="98">
                  <c:v>138</c:v>
                </c:pt>
                <c:pt idx="99">
                  <c:v>139</c:v>
                </c:pt>
                <c:pt idx="100">
                  <c:v>140</c:v>
                </c:pt>
                <c:pt idx="101">
                  <c:v>141</c:v>
                </c:pt>
                <c:pt idx="102">
                  <c:v>142</c:v>
                </c:pt>
                <c:pt idx="103">
                  <c:v>143</c:v>
                </c:pt>
                <c:pt idx="104">
                  <c:v>144</c:v>
                </c:pt>
                <c:pt idx="105">
                  <c:v>145</c:v>
                </c:pt>
                <c:pt idx="106">
                  <c:v>146</c:v>
                </c:pt>
                <c:pt idx="107">
                  <c:v>147</c:v>
                </c:pt>
                <c:pt idx="108">
                  <c:v>148</c:v>
                </c:pt>
                <c:pt idx="109">
                  <c:v>149</c:v>
                </c:pt>
                <c:pt idx="110">
                  <c:v>150</c:v>
                </c:pt>
                <c:pt idx="111">
                  <c:v>151</c:v>
                </c:pt>
                <c:pt idx="112">
                  <c:v>152</c:v>
                </c:pt>
                <c:pt idx="113">
                  <c:v>153</c:v>
                </c:pt>
                <c:pt idx="114">
                  <c:v>154</c:v>
                </c:pt>
                <c:pt idx="115">
                  <c:v>155</c:v>
                </c:pt>
                <c:pt idx="116">
                  <c:v>156</c:v>
                </c:pt>
                <c:pt idx="117">
                  <c:v>157</c:v>
                </c:pt>
                <c:pt idx="118">
                  <c:v>158</c:v>
                </c:pt>
                <c:pt idx="119">
                  <c:v>159</c:v>
                </c:pt>
                <c:pt idx="120">
                  <c:v>160</c:v>
                </c:pt>
                <c:pt idx="121">
                  <c:v>161</c:v>
                </c:pt>
                <c:pt idx="122">
                  <c:v>162</c:v>
                </c:pt>
                <c:pt idx="123">
                  <c:v>163</c:v>
                </c:pt>
                <c:pt idx="124">
                  <c:v>164</c:v>
                </c:pt>
                <c:pt idx="125">
                  <c:v>165</c:v>
                </c:pt>
                <c:pt idx="126">
                  <c:v>166</c:v>
                </c:pt>
                <c:pt idx="127">
                  <c:v>167</c:v>
                </c:pt>
                <c:pt idx="128">
                  <c:v>168</c:v>
                </c:pt>
                <c:pt idx="129">
                  <c:v>169</c:v>
                </c:pt>
                <c:pt idx="130">
                  <c:v>170</c:v>
                </c:pt>
                <c:pt idx="131">
                  <c:v>171</c:v>
                </c:pt>
                <c:pt idx="132">
                  <c:v>172</c:v>
                </c:pt>
                <c:pt idx="133">
                  <c:v>173</c:v>
                </c:pt>
                <c:pt idx="134">
                  <c:v>174</c:v>
                </c:pt>
                <c:pt idx="135">
                  <c:v>175</c:v>
                </c:pt>
                <c:pt idx="136">
                  <c:v>176</c:v>
                </c:pt>
                <c:pt idx="137">
                  <c:v>177</c:v>
                </c:pt>
                <c:pt idx="138">
                  <c:v>178</c:v>
                </c:pt>
                <c:pt idx="139">
                  <c:v>179</c:v>
                </c:pt>
                <c:pt idx="140">
                  <c:v>180</c:v>
                </c:pt>
                <c:pt idx="141">
                  <c:v>181</c:v>
                </c:pt>
                <c:pt idx="142">
                  <c:v>182</c:v>
                </c:pt>
                <c:pt idx="143">
                  <c:v>183</c:v>
                </c:pt>
                <c:pt idx="144">
                  <c:v>184</c:v>
                </c:pt>
                <c:pt idx="145">
                  <c:v>185</c:v>
                </c:pt>
                <c:pt idx="146">
                  <c:v>186</c:v>
                </c:pt>
                <c:pt idx="147">
                  <c:v>187</c:v>
                </c:pt>
                <c:pt idx="148">
                  <c:v>188</c:v>
                </c:pt>
                <c:pt idx="149">
                  <c:v>189</c:v>
                </c:pt>
                <c:pt idx="150">
                  <c:v>190</c:v>
                </c:pt>
                <c:pt idx="151">
                  <c:v>191</c:v>
                </c:pt>
                <c:pt idx="152">
                  <c:v>192</c:v>
                </c:pt>
                <c:pt idx="153">
                  <c:v>193</c:v>
                </c:pt>
                <c:pt idx="154">
                  <c:v>194</c:v>
                </c:pt>
                <c:pt idx="155">
                  <c:v>195</c:v>
                </c:pt>
                <c:pt idx="156">
                  <c:v>196</c:v>
                </c:pt>
                <c:pt idx="157">
                  <c:v>197</c:v>
                </c:pt>
                <c:pt idx="158">
                  <c:v>198</c:v>
                </c:pt>
                <c:pt idx="159">
                  <c:v>199</c:v>
                </c:pt>
                <c:pt idx="160">
                  <c:v>200</c:v>
                </c:pt>
                <c:pt idx="161">
                  <c:v>201</c:v>
                </c:pt>
                <c:pt idx="162">
                  <c:v>202</c:v>
                </c:pt>
                <c:pt idx="163">
                  <c:v>203</c:v>
                </c:pt>
                <c:pt idx="164">
                  <c:v>204</c:v>
                </c:pt>
                <c:pt idx="165">
                  <c:v>205</c:v>
                </c:pt>
                <c:pt idx="166">
                  <c:v>206</c:v>
                </c:pt>
                <c:pt idx="167">
                  <c:v>207</c:v>
                </c:pt>
                <c:pt idx="168">
                  <c:v>208</c:v>
                </c:pt>
                <c:pt idx="169">
                  <c:v>209</c:v>
                </c:pt>
                <c:pt idx="170">
                  <c:v>210</c:v>
                </c:pt>
                <c:pt idx="171">
                  <c:v>211</c:v>
                </c:pt>
                <c:pt idx="172">
                  <c:v>212</c:v>
                </c:pt>
                <c:pt idx="173">
                  <c:v>213</c:v>
                </c:pt>
                <c:pt idx="174">
                  <c:v>214</c:v>
                </c:pt>
                <c:pt idx="175">
                  <c:v>215</c:v>
                </c:pt>
                <c:pt idx="176">
                  <c:v>216</c:v>
                </c:pt>
                <c:pt idx="177">
                  <c:v>217</c:v>
                </c:pt>
                <c:pt idx="178">
                  <c:v>218</c:v>
                </c:pt>
                <c:pt idx="179">
                  <c:v>219</c:v>
                </c:pt>
                <c:pt idx="180">
                  <c:v>220</c:v>
                </c:pt>
                <c:pt idx="181">
                  <c:v>221</c:v>
                </c:pt>
                <c:pt idx="182">
                  <c:v>222</c:v>
                </c:pt>
                <c:pt idx="183">
                  <c:v>223</c:v>
                </c:pt>
                <c:pt idx="184">
                  <c:v>224</c:v>
                </c:pt>
                <c:pt idx="185">
                  <c:v>225</c:v>
                </c:pt>
                <c:pt idx="186">
                  <c:v>226</c:v>
                </c:pt>
                <c:pt idx="187">
                  <c:v>227</c:v>
                </c:pt>
                <c:pt idx="188">
                  <c:v>228</c:v>
                </c:pt>
                <c:pt idx="189">
                  <c:v>229</c:v>
                </c:pt>
                <c:pt idx="190">
                  <c:v>230</c:v>
                </c:pt>
                <c:pt idx="191">
                  <c:v>231</c:v>
                </c:pt>
                <c:pt idx="192">
                  <c:v>232</c:v>
                </c:pt>
                <c:pt idx="193">
                  <c:v>233</c:v>
                </c:pt>
                <c:pt idx="194">
                  <c:v>234</c:v>
                </c:pt>
                <c:pt idx="195">
                  <c:v>235</c:v>
                </c:pt>
                <c:pt idx="196">
                  <c:v>236</c:v>
                </c:pt>
                <c:pt idx="197">
                  <c:v>237</c:v>
                </c:pt>
                <c:pt idx="198">
                  <c:v>238</c:v>
                </c:pt>
                <c:pt idx="199">
                  <c:v>239</c:v>
                </c:pt>
                <c:pt idx="200">
                  <c:v>240</c:v>
                </c:pt>
                <c:pt idx="201">
                  <c:v>241</c:v>
                </c:pt>
                <c:pt idx="202">
                  <c:v>242</c:v>
                </c:pt>
                <c:pt idx="203">
                  <c:v>243</c:v>
                </c:pt>
                <c:pt idx="204">
                  <c:v>244</c:v>
                </c:pt>
                <c:pt idx="205">
                  <c:v>245</c:v>
                </c:pt>
                <c:pt idx="206">
                  <c:v>246</c:v>
                </c:pt>
                <c:pt idx="207">
                  <c:v>247</c:v>
                </c:pt>
                <c:pt idx="208">
                  <c:v>248</c:v>
                </c:pt>
                <c:pt idx="209">
                  <c:v>249</c:v>
                </c:pt>
                <c:pt idx="210">
                  <c:v>250</c:v>
                </c:pt>
              </c:numCache>
            </c:numRef>
          </c:xVal>
          <c:yVal>
            <c:numRef>
              <c:f>'DADOS BRUTOS'!$C$2:$C$212</c:f>
              <c:numCache>
                <c:formatCode>General</c:formatCode>
                <c:ptCount val="211"/>
                <c:pt idx="0">
                  <c:v>4.5</c:v>
                </c:pt>
                <c:pt idx="1">
                  <c:v>4.5999999999999996</c:v>
                </c:pt>
                <c:pt idx="2">
                  <c:v>4.63</c:v>
                </c:pt>
                <c:pt idx="3">
                  <c:v>4.67</c:v>
                </c:pt>
                <c:pt idx="4">
                  <c:v>4.88</c:v>
                </c:pt>
                <c:pt idx="5">
                  <c:v>4.92</c:v>
                </c:pt>
                <c:pt idx="6">
                  <c:v>4.96</c:v>
                </c:pt>
                <c:pt idx="7">
                  <c:v>5</c:v>
                </c:pt>
                <c:pt idx="8">
                  <c:v>5.2</c:v>
                </c:pt>
                <c:pt idx="9">
                  <c:v>5.3</c:v>
                </c:pt>
                <c:pt idx="10">
                  <c:v>5.35</c:v>
                </c:pt>
                <c:pt idx="11">
                  <c:v>5.5</c:v>
                </c:pt>
                <c:pt idx="12">
                  <c:v>5.6</c:v>
                </c:pt>
                <c:pt idx="13">
                  <c:v>5.7</c:v>
                </c:pt>
                <c:pt idx="14">
                  <c:v>5.8</c:v>
                </c:pt>
                <c:pt idx="15">
                  <c:v>5.9</c:v>
                </c:pt>
                <c:pt idx="16">
                  <c:v>6</c:v>
                </c:pt>
                <c:pt idx="17">
                  <c:v>6.1</c:v>
                </c:pt>
                <c:pt idx="18">
                  <c:v>6.2</c:v>
                </c:pt>
                <c:pt idx="19">
                  <c:v>6.3</c:v>
                </c:pt>
                <c:pt idx="20">
                  <c:v>6.4</c:v>
                </c:pt>
                <c:pt idx="21">
                  <c:v>6.5</c:v>
                </c:pt>
                <c:pt idx="22">
                  <c:v>6.5</c:v>
                </c:pt>
                <c:pt idx="23">
                  <c:v>6.6</c:v>
                </c:pt>
                <c:pt idx="24">
                  <c:v>6.8</c:v>
                </c:pt>
                <c:pt idx="25">
                  <c:v>6.9</c:v>
                </c:pt>
                <c:pt idx="26">
                  <c:v>7</c:v>
                </c:pt>
                <c:pt idx="27">
                  <c:v>7</c:v>
                </c:pt>
                <c:pt idx="28">
                  <c:v>7.3</c:v>
                </c:pt>
                <c:pt idx="29">
                  <c:v>7.4</c:v>
                </c:pt>
                <c:pt idx="30">
                  <c:v>7.5</c:v>
                </c:pt>
                <c:pt idx="31">
                  <c:v>7.5</c:v>
                </c:pt>
                <c:pt idx="32">
                  <c:v>7.8</c:v>
                </c:pt>
                <c:pt idx="33">
                  <c:v>7.9</c:v>
                </c:pt>
                <c:pt idx="34">
                  <c:v>8</c:v>
                </c:pt>
                <c:pt idx="35">
                  <c:v>8</c:v>
                </c:pt>
                <c:pt idx="36">
                  <c:v>8.3000000000000007</c:v>
                </c:pt>
                <c:pt idx="37">
                  <c:v>8.4</c:v>
                </c:pt>
                <c:pt idx="38">
                  <c:v>8.5</c:v>
                </c:pt>
                <c:pt idx="39">
                  <c:v>8.5</c:v>
                </c:pt>
                <c:pt idx="40">
                  <c:v>8.9</c:v>
                </c:pt>
                <c:pt idx="41">
                  <c:v>8.9</c:v>
                </c:pt>
                <c:pt idx="42">
                  <c:v>9</c:v>
                </c:pt>
                <c:pt idx="43">
                  <c:v>9.1</c:v>
                </c:pt>
                <c:pt idx="44">
                  <c:v>9.4</c:v>
                </c:pt>
                <c:pt idx="45">
                  <c:v>9.5</c:v>
                </c:pt>
                <c:pt idx="46">
                  <c:v>9.6</c:v>
                </c:pt>
                <c:pt idx="47">
                  <c:v>9.6999999999999993</c:v>
                </c:pt>
                <c:pt idx="48">
                  <c:v>10</c:v>
                </c:pt>
                <c:pt idx="49">
                  <c:v>10.1</c:v>
                </c:pt>
                <c:pt idx="50">
                  <c:v>10.199999999999999</c:v>
                </c:pt>
                <c:pt idx="51">
                  <c:v>10.3</c:v>
                </c:pt>
                <c:pt idx="52">
                  <c:v>10.6</c:v>
                </c:pt>
                <c:pt idx="53">
                  <c:v>10.7</c:v>
                </c:pt>
                <c:pt idx="54">
                  <c:v>10.8</c:v>
                </c:pt>
                <c:pt idx="55">
                  <c:v>10.9</c:v>
                </c:pt>
                <c:pt idx="56">
                  <c:v>11.3</c:v>
                </c:pt>
                <c:pt idx="57">
                  <c:v>11.4</c:v>
                </c:pt>
                <c:pt idx="58">
                  <c:v>11.5</c:v>
                </c:pt>
                <c:pt idx="59">
                  <c:v>11.6</c:v>
                </c:pt>
                <c:pt idx="60">
                  <c:v>12</c:v>
                </c:pt>
                <c:pt idx="61">
                  <c:v>12.1</c:v>
                </c:pt>
                <c:pt idx="62">
                  <c:v>12.2</c:v>
                </c:pt>
                <c:pt idx="63">
                  <c:v>12.3</c:v>
                </c:pt>
                <c:pt idx="64">
                  <c:v>12.7</c:v>
                </c:pt>
                <c:pt idx="65">
                  <c:v>12.8</c:v>
                </c:pt>
                <c:pt idx="66">
                  <c:v>12.8</c:v>
                </c:pt>
                <c:pt idx="67">
                  <c:v>12.9</c:v>
                </c:pt>
                <c:pt idx="68">
                  <c:v>13.4</c:v>
                </c:pt>
                <c:pt idx="69">
                  <c:v>13.5</c:v>
                </c:pt>
                <c:pt idx="70">
                  <c:v>13.6</c:v>
                </c:pt>
                <c:pt idx="71">
                  <c:v>13.7</c:v>
                </c:pt>
                <c:pt idx="72">
                  <c:v>14.2</c:v>
                </c:pt>
                <c:pt idx="73">
                  <c:v>14.3</c:v>
                </c:pt>
                <c:pt idx="74">
                  <c:v>14.4</c:v>
                </c:pt>
                <c:pt idx="75">
                  <c:v>14.5</c:v>
                </c:pt>
                <c:pt idx="76">
                  <c:v>15</c:v>
                </c:pt>
                <c:pt idx="77">
                  <c:v>15.1</c:v>
                </c:pt>
                <c:pt idx="78">
                  <c:v>15.2</c:v>
                </c:pt>
                <c:pt idx="79">
                  <c:v>15.3</c:v>
                </c:pt>
                <c:pt idx="80">
                  <c:v>15.8</c:v>
                </c:pt>
                <c:pt idx="81">
                  <c:v>15.9</c:v>
                </c:pt>
                <c:pt idx="82">
                  <c:v>16</c:v>
                </c:pt>
                <c:pt idx="83">
                  <c:v>16.100000000000001</c:v>
                </c:pt>
                <c:pt idx="84">
                  <c:v>16.7</c:v>
                </c:pt>
                <c:pt idx="85">
                  <c:v>16.8</c:v>
                </c:pt>
                <c:pt idx="86">
                  <c:v>16.899999999999999</c:v>
                </c:pt>
                <c:pt idx="87">
                  <c:v>17</c:v>
                </c:pt>
                <c:pt idx="88">
                  <c:v>17.600000000000001</c:v>
                </c:pt>
                <c:pt idx="89">
                  <c:v>17.7</c:v>
                </c:pt>
                <c:pt idx="90">
                  <c:v>17.8</c:v>
                </c:pt>
                <c:pt idx="91">
                  <c:v>17.899999999999999</c:v>
                </c:pt>
                <c:pt idx="92">
                  <c:v>18.5</c:v>
                </c:pt>
                <c:pt idx="93">
                  <c:v>18.600000000000001</c:v>
                </c:pt>
                <c:pt idx="94">
                  <c:v>18.7</c:v>
                </c:pt>
                <c:pt idx="95">
                  <c:v>18.899999999999999</c:v>
                </c:pt>
                <c:pt idx="96">
                  <c:v>19.5</c:v>
                </c:pt>
                <c:pt idx="97">
                  <c:v>19.600000000000001</c:v>
                </c:pt>
                <c:pt idx="98">
                  <c:v>19.8</c:v>
                </c:pt>
                <c:pt idx="99">
                  <c:v>19.899999999999999</c:v>
                </c:pt>
                <c:pt idx="100">
                  <c:v>20.5</c:v>
                </c:pt>
                <c:pt idx="101">
                  <c:v>20.6</c:v>
                </c:pt>
                <c:pt idx="102">
                  <c:v>20.7</c:v>
                </c:pt>
                <c:pt idx="103">
                  <c:v>20.9</c:v>
                </c:pt>
                <c:pt idx="104">
                  <c:v>21.6</c:v>
                </c:pt>
                <c:pt idx="105">
                  <c:v>21.7</c:v>
                </c:pt>
                <c:pt idx="106">
                  <c:v>21.8</c:v>
                </c:pt>
                <c:pt idx="107">
                  <c:v>21.8</c:v>
                </c:pt>
                <c:pt idx="108">
                  <c:v>22.6</c:v>
                </c:pt>
                <c:pt idx="109">
                  <c:v>22.8</c:v>
                </c:pt>
                <c:pt idx="110">
                  <c:v>23</c:v>
                </c:pt>
                <c:pt idx="111">
                  <c:v>23.1</c:v>
                </c:pt>
                <c:pt idx="112">
                  <c:v>23.8</c:v>
                </c:pt>
                <c:pt idx="113">
                  <c:v>23.9</c:v>
                </c:pt>
                <c:pt idx="114">
                  <c:v>24.1</c:v>
                </c:pt>
                <c:pt idx="115">
                  <c:v>24.3</c:v>
                </c:pt>
                <c:pt idx="116">
                  <c:v>25</c:v>
                </c:pt>
                <c:pt idx="117">
                  <c:v>25.1</c:v>
                </c:pt>
                <c:pt idx="118">
                  <c:v>25.3</c:v>
                </c:pt>
                <c:pt idx="119">
                  <c:v>25.4</c:v>
                </c:pt>
                <c:pt idx="120">
                  <c:v>26.1</c:v>
                </c:pt>
                <c:pt idx="121">
                  <c:v>26.3</c:v>
                </c:pt>
                <c:pt idx="122">
                  <c:v>26.4</c:v>
                </c:pt>
                <c:pt idx="123">
                  <c:v>26.6</c:v>
                </c:pt>
                <c:pt idx="124">
                  <c:v>27.4</c:v>
                </c:pt>
                <c:pt idx="125">
                  <c:v>27.6</c:v>
                </c:pt>
                <c:pt idx="126">
                  <c:v>27.8</c:v>
                </c:pt>
                <c:pt idx="127">
                  <c:v>28</c:v>
                </c:pt>
                <c:pt idx="128">
                  <c:v>28.6</c:v>
                </c:pt>
                <c:pt idx="129">
                  <c:v>28.9</c:v>
                </c:pt>
                <c:pt idx="130">
                  <c:v>29.1</c:v>
                </c:pt>
                <c:pt idx="131">
                  <c:v>29.3</c:v>
                </c:pt>
                <c:pt idx="132">
                  <c:v>30.1</c:v>
                </c:pt>
                <c:pt idx="133">
                  <c:v>30.3</c:v>
                </c:pt>
                <c:pt idx="134">
                  <c:v>30.4</c:v>
                </c:pt>
                <c:pt idx="135">
                  <c:v>30.6</c:v>
                </c:pt>
                <c:pt idx="136">
                  <c:v>31.5</c:v>
                </c:pt>
                <c:pt idx="137">
                  <c:v>31.7</c:v>
                </c:pt>
                <c:pt idx="138">
                  <c:v>31.9</c:v>
                </c:pt>
                <c:pt idx="139">
                  <c:v>32</c:v>
                </c:pt>
                <c:pt idx="140">
                  <c:v>32.9</c:v>
                </c:pt>
                <c:pt idx="141">
                  <c:v>33.1</c:v>
                </c:pt>
                <c:pt idx="142">
                  <c:v>33.200000000000003</c:v>
                </c:pt>
                <c:pt idx="143">
                  <c:v>33.5</c:v>
                </c:pt>
                <c:pt idx="144">
                  <c:v>34.4</c:v>
                </c:pt>
                <c:pt idx="145">
                  <c:v>34.6</c:v>
                </c:pt>
                <c:pt idx="146">
                  <c:v>34.799999999999997</c:v>
                </c:pt>
                <c:pt idx="147">
                  <c:v>35</c:v>
                </c:pt>
                <c:pt idx="148">
                  <c:v>35.9</c:v>
                </c:pt>
                <c:pt idx="149">
                  <c:v>36.200000000000003</c:v>
                </c:pt>
                <c:pt idx="150">
                  <c:v>36.4</c:v>
                </c:pt>
                <c:pt idx="151">
                  <c:v>36.5</c:v>
                </c:pt>
                <c:pt idx="152">
                  <c:v>37.5</c:v>
                </c:pt>
                <c:pt idx="153">
                  <c:v>37.700000000000003</c:v>
                </c:pt>
                <c:pt idx="154">
                  <c:v>37.9</c:v>
                </c:pt>
                <c:pt idx="155">
                  <c:v>38.1</c:v>
                </c:pt>
                <c:pt idx="156">
                  <c:v>39.200000000000003</c:v>
                </c:pt>
                <c:pt idx="157">
                  <c:v>39.4</c:v>
                </c:pt>
                <c:pt idx="158">
                  <c:v>39.700000000000003</c:v>
                </c:pt>
                <c:pt idx="159">
                  <c:v>39.799999999999997</c:v>
                </c:pt>
                <c:pt idx="160">
                  <c:v>41</c:v>
                </c:pt>
                <c:pt idx="161">
                  <c:v>41.3</c:v>
                </c:pt>
                <c:pt idx="162">
                  <c:v>41.4</c:v>
                </c:pt>
                <c:pt idx="163">
                  <c:v>41.6</c:v>
                </c:pt>
                <c:pt idx="164">
                  <c:v>42.6</c:v>
                </c:pt>
                <c:pt idx="165">
                  <c:v>42.9</c:v>
                </c:pt>
                <c:pt idx="166">
                  <c:v>43.1</c:v>
                </c:pt>
                <c:pt idx="167">
                  <c:v>43.3</c:v>
                </c:pt>
                <c:pt idx="168">
                  <c:v>44.5</c:v>
                </c:pt>
                <c:pt idx="169">
                  <c:v>44.7</c:v>
                </c:pt>
                <c:pt idx="170">
                  <c:v>44.9</c:v>
                </c:pt>
                <c:pt idx="171">
                  <c:v>45.1</c:v>
                </c:pt>
                <c:pt idx="172">
                  <c:v>46.3</c:v>
                </c:pt>
                <c:pt idx="173">
                  <c:v>46.6</c:v>
                </c:pt>
                <c:pt idx="174">
                  <c:v>46.9</c:v>
                </c:pt>
                <c:pt idx="175">
                  <c:v>47.1</c:v>
                </c:pt>
                <c:pt idx="176">
                  <c:v>48.3</c:v>
                </c:pt>
                <c:pt idx="177">
                  <c:v>48.5</c:v>
                </c:pt>
                <c:pt idx="178">
                  <c:v>48.7</c:v>
                </c:pt>
                <c:pt idx="179">
                  <c:v>49</c:v>
                </c:pt>
                <c:pt idx="180">
                  <c:v>50.2</c:v>
                </c:pt>
                <c:pt idx="181">
                  <c:v>50.6</c:v>
                </c:pt>
                <c:pt idx="182">
                  <c:v>51</c:v>
                </c:pt>
                <c:pt idx="183">
                  <c:v>51.6</c:v>
                </c:pt>
                <c:pt idx="184">
                  <c:v>52</c:v>
                </c:pt>
                <c:pt idx="185">
                  <c:v>52.6</c:v>
                </c:pt>
                <c:pt idx="186">
                  <c:v>52.9</c:v>
                </c:pt>
                <c:pt idx="187">
                  <c:v>53.2</c:v>
                </c:pt>
                <c:pt idx="188">
                  <c:v>54.6</c:v>
                </c:pt>
                <c:pt idx="189">
                  <c:v>54.9</c:v>
                </c:pt>
                <c:pt idx="190">
                  <c:v>55.2</c:v>
                </c:pt>
                <c:pt idx="191">
                  <c:v>55.3</c:v>
                </c:pt>
                <c:pt idx="192">
                  <c:v>56.7</c:v>
                </c:pt>
                <c:pt idx="193">
                  <c:v>56.8</c:v>
                </c:pt>
                <c:pt idx="194">
                  <c:v>57.3</c:v>
                </c:pt>
                <c:pt idx="195">
                  <c:v>57.6</c:v>
                </c:pt>
                <c:pt idx="196">
                  <c:v>59</c:v>
                </c:pt>
                <c:pt idx="197">
                  <c:v>59.2</c:v>
                </c:pt>
                <c:pt idx="198">
                  <c:v>59.5</c:v>
                </c:pt>
                <c:pt idx="199">
                  <c:v>59.8</c:v>
                </c:pt>
                <c:pt idx="200">
                  <c:v>61.2</c:v>
                </c:pt>
                <c:pt idx="201">
                  <c:v>61.5</c:v>
                </c:pt>
                <c:pt idx="202">
                  <c:v>61.8</c:v>
                </c:pt>
                <c:pt idx="203">
                  <c:v>62</c:v>
                </c:pt>
                <c:pt idx="204">
                  <c:v>63.6</c:v>
                </c:pt>
                <c:pt idx="205">
                  <c:v>64</c:v>
                </c:pt>
                <c:pt idx="206">
                  <c:v>64.3</c:v>
                </c:pt>
                <c:pt idx="207">
                  <c:v>64.5</c:v>
                </c:pt>
                <c:pt idx="208">
                  <c:v>66</c:v>
                </c:pt>
                <c:pt idx="209">
                  <c:v>66.3</c:v>
                </c:pt>
                <c:pt idx="210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C1-44E5-8DA7-8FA97EFB4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923663"/>
        <c:axId val="2081934703"/>
      </c:scatterChart>
      <c:valAx>
        <c:axId val="208192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1934703"/>
        <c:crosses val="autoZero"/>
        <c:crossBetween val="midCat"/>
      </c:valAx>
      <c:valAx>
        <c:axId val="208193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192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20 ANOS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'DADOS BRUTOS'!$B$424:$B$634</c:f>
              <c:numCache>
                <c:formatCode>General</c:formatCode>
                <c:ptCount val="211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  <c:pt idx="15">
                  <c:v>55</c:v>
                </c:pt>
                <c:pt idx="16">
                  <c:v>56</c:v>
                </c:pt>
                <c:pt idx="17">
                  <c:v>57</c:v>
                </c:pt>
                <c:pt idx="18">
                  <c:v>58</c:v>
                </c:pt>
                <c:pt idx="19">
                  <c:v>59</c:v>
                </c:pt>
                <c:pt idx="20">
                  <c:v>60</c:v>
                </c:pt>
                <c:pt idx="21">
                  <c:v>61</c:v>
                </c:pt>
                <c:pt idx="22">
                  <c:v>62</c:v>
                </c:pt>
                <c:pt idx="23">
                  <c:v>63</c:v>
                </c:pt>
                <c:pt idx="24">
                  <c:v>64</c:v>
                </c:pt>
                <c:pt idx="25">
                  <c:v>65</c:v>
                </c:pt>
                <c:pt idx="26">
                  <c:v>66</c:v>
                </c:pt>
                <c:pt idx="27">
                  <c:v>67</c:v>
                </c:pt>
                <c:pt idx="28">
                  <c:v>68</c:v>
                </c:pt>
                <c:pt idx="29">
                  <c:v>69</c:v>
                </c:pt>
                <c:pt idx="30">
                  <c:v>70</c:v>
                </c:pt>
                <c:pt idx="31">
                  <c:v>71</c:v>
                </c:pt>
                <c:pt idx="32">
                  <c:v>72</c:v>
                </c:pt>
                <c:pt idx="33">
                  <c:v>73</c:v>
                </c:pt>
                <c:pt idx="34">
                  <c:v>74</c:v>
                </c:pt>
                <c:pt idx="35">
                  <c:v>75</c:v>
                </c:pt>
                <c:pt idx="36">
                  <c:v>76</c:v>
                </c:pt>
                <c:pt idx="37">
                  <c:v>77</c:v>
                </c:pt>
                <c:pt idx="38">
                  <c:v>78</c:v>
                </c:pt>
                <c:pt idx="39">
                  <c:v>79</c:v>
                </c:pt>
                <c:pt idx="40">
                  <c:v>80</c:v>
                </c:pt>
                <c:pt idx="41">
                  <c:v>81</c:v>
                </c:pt>
                <c:pt idx="42">
                  <c:v>82</c:v>
                </c:pt>
                <c:pt idx="43">
                  <c:v>83</c:v>
                </c:pt>
                <c:pt idx="44">
                  <c:v>84</c:v>
                </c:pt>
                <c:pt idx="45">
                  <c:v>85</c:v>
                </c:pt>
                <c:pt idx="46">
                  <c:v>86</c:v>
                </c:pt>
                <c:pt idx="47">
                  <c:v>87</c:v>
                </c:pt>
                <c:pt idx="48">
                  <c:v>88</c:v>
                </c:pt>
                <c:pt idx="49">
                  <c:v>89</c:v>
                </c:pt>
                <c:pt idx="50">
                  <c:v>90</c:v>
                </c:pt>
                <c:pt idx="51">
                  <c:v>91</c:v>
                </c:pt>
                <c:pt idx="52">
                  <c:v>92</c:v>
                </c:pt>
                <c:pt idx="53">
                  <c:v>93</c:v>
                </c:pt>
                <c:pt idx="54">
                  <c:v>94</c:v>
                </c:pt>
                <c:pt idx="55">
                  <c:v>95</c:v>
                </c:pt>
                <c:pt idx="56">
                  <c:v>96</c:v>
                </c:pt>
                <c:pt idx="57">
                  <c:v>97</c:v>
                </c:pt>
                <c:pt idx="58">
                  <c:v>98</c:v>
                </c:pt>
                <c:pt idx="59">
                  <c:v>99</c:v>
                </c:pt>
                <c:pt idx="60">
                  <c:v>100</c:v>
                </c:pt>
                <c:pt idx="61">
                  <c:v>101</c:v>
                </c:pt>
                <c:pt idx="62">
                  <c:v>102</c:v>
                </c:pt>
                <c:pt idx="63">
                  <c:v>103</c:v>
                </c:pt>
                <c:pt idx="64">
                  <c:v>104</c:v>
                </c:pt>
                <c:pt idx="65">
                  <c:v>105</c:v>
                </c:pt>
                <c:pt idx="66">
                  <c:v>106</c:v>
                </c:pt>
                <c:pt idx="67">
                  <c:v>107</c:v>
                </c:pt>
                <c:pt idx="68">
                  <c:v>108</c:v>
                </c:pt>
                <c:pt idx="69">
                  <c:v>109</c:v>
                </c:pt>
                <c:pt idx="70">
                  <c:v>110</c:v>
                </c:pt>
                <c:pt idx="71">
                  <c:v>111</c:v>
                </c:pt>
                <c:pt idx="72">
                  <c:v>112</c:v>
                </c:pt>
                <c:pt idx="73">
                  <c:v>113</c:v>
                </c:pt>
                <c:pt idx="74">
                  <c:v>114</c:v>
                </c:pt>
                <c:pt idx="75">
                  <c:v>115</c:v>
                </c:pt>
                <c:pt idx="76">
                  <c:v>116</c:v>
                </c:pt>
                <c:pt idx="77">
                  <c:v>117</c:v>
                </c:pt>
                <c:pt idx="78">
                  <c:v>118</c:v>
                </c:pt>
                <c:pt idx="79">
                  <c:v>119</c:v>
                </c:pt>
                <c:pt idx="80">
                  <c:v>120</c:v>
                </c:pt>
                <c:pt idx="81">
                  <c:v>121</c:v>
                </c:pt>
                <c:pt idx="82">
                  <c:v>122</c:v>
                </c:pt>
                <c:pt idx="83">
                  <c:v>123</c:v>
                </c:pt>
                <c:pt idx="84">
                  <c:v>124</c:v>
                </c:pt>
                <c:pt idx="85">
                  <c:v>125</c:v>
                </c:pt>
                <c:pt idx="86">
                  <c:v>126</c:v>
                </c:pt>
                <c:pt idx="87">
                  <c:v>127</c:v>
                </c:pt>
                <c:pt idx="88">
                  <c:v>128</c:v>
                </c:pt>
                <c:pt idx="89">
                  <c:v>129</c:v>
                </c:pt>
                <c:pt idx="90">
                  <c:v>130</c:v>
                </c:pt>
                <c:pt idx="91">
                  <c:v>131</c:v>
                </c:pt>
                <c:pt idx="92">
                  <c:v>132</c:v>
                </c:pt>
                <c:pt idx="93">
                  <c:v>133</c:v>
                </c:pt>
                <c:pt idx="94">
                  <c:v>134</c:v>
                </c:pt>
                <c:pt idx="95">
                  <c:v>135</c:v>
                </c:pt>
                <c:pt idx="96">
                  <c:v>136</c:v>
                </c:pt>
                <c:pt idx="97">
                  <c:v>137</c:v>
                </c:pt>
                <c:pt idx="98">
                  <c:v>138</c:v>
                </c:pt>
                <c:pt idx="99">
                  <c:v>139</c:v>
                </c:pt>
                <c:pt idx="100">
                  <c:v>140</c:v>
                </c:pt>
                <c:pt idx="101">
                  <c:v>141</c:v>
                </c:pt>
                <c:pt idx="102">
                  <c:v>142</c:v>
                </c:pt>
                <c:pt idx="103">
                  <c:v>143</c:v>
                </c:pt>
                <c:pt idx="104">
                  <c:v>144</c:v>
                </c:pt>
                <c:pt idx="105">
                  <c:v>145</c:v>
                </c:pt>
                <c:pt idx="106">
                  <c:v>146</c:v>
                </c:pt>
                <c:pt idx="107">
                  <c:v>147</c:v>
                </c:pt>
                <c:pt idx="108">
                  <c:v>148</c:v>
                </c:pt>
                <c:pt idx="109">
                  <c:v>149</c:v>
                </c:pt>
                <c:pt idx="110">
                  <c:v>150</c:v>
                </c:pt>
                <c:pt idx="111">
                  <c:v>151</c:v>
                </c:pt>
                <c:pt idx="112">
                  <c:v>152</c:v>
                </c:pt>
                <c:pt idx="113">
                  <c:v>153</c:v>
                </c:pt>
                <c:pt idx="114">
                  <c:v>154</c:v>
                </c:pt>
                <c:pt idx="115">
                  <c:v>155</c:v>
                </c:pt>
                <c:pt idx="116">
                  <c:v>156</c:v>
                </c:pt>
                <c:pt idx="117">
                  <c:v>157</c:v>
                </c:pt>
                <c:pt idx="118">
                  <c:v>158</c:v>
                </c:pt>
                <c:pt idx="119">
                  <c:v>159</c:v>
                </c:pt>
                <c:pt idx="120">
                  <c:v>160</c:v>
                </c:pt>
                <c:pt idx="121">
                  <c:v>161</c:v>
                </c:pt>
                <c:pt idx="122">
                  <c:v>162</c:v>
                </c:pt>
                <c:pt idx="123">
                  <c:v>163</c:v>
                </c:pt>
                <c:pt idx="124">
                  <c:v>164</c:v>
                </c:pt>
                <c:pt idx="125">
                  <c:v>165</c:v>
                </c:pt>
                <c:pt idx="126">
                  <c:v>166</c:v>
                </c:pt>
                <c:pt idx="127">
                  <c:v>167</c:v>
                </c:pt>
                <c:pt idx="128">
                  <c:v>168</c:v>
                </c:pt>
                <c:pt idx="129">
                  <c:v>169</c:v>
                </c:pt>
                <c:pt idx="130">
                  <c:v>170</c:v>
                </c:pt>
                <c:pt idx="131">
                  <c:v>171</c:v>
                </c:pt>
                <c:pt idx="132">
                  <c:v>172</c:v>
                </c:pt>
                <c:pt idx="133">
                  <c:v>173</c:v>
                </c:pt>
                <c:pt idx="134">
                  <c:v>174</c:v>
                </c:pt>
                <c:pt idx="135">
                  <c:v>175</c:v>
                </c:pt>
                <c:pt idx="136">
                  <c:v>176</c:v>
                </c:pt>
                <c:pt idx="137">
                  <c:v>177</c:v>
                </c:pt>
                <c:pt idx="138">
                  <c:v>178</c:v>
                </c:pt>
                <c:pt idx="139">
                  <c:v>179</c:v>
                </c:pt>
                <c:pt idx="140">
                  <c:v>180</c:v>
                </c:pt>
                <c:pt idx="141">
                  <c:v>181</c:v>
                </c:pt>
                <c:pt idx="142">
                  <c:v>182</c:v>
                </c:pt>
                <c:pt idx="143">
                  <c:v>183</c:v>
                </c:pt>
                <c:pt idx="144">
                  <c:v>184</c:v>
                </c:pt>
                <c:pt idx="145">
                  <c:v>185</c:v>
                </c:pt>
                <c:pt idx="146">
                  <c:v>186</c:v>
                </c:pt>
                <c:pt idx="147">
                  <c:v>187</c:v>
                </c:pt>
                <c:pt idx="148">
                  <c:v>188</c:v>
                </c:pt>
                <c:pt idx="149">
                  <c:v>189</c:v>
                </c:pt>
                <c:pt idx="150">
                  <c:v>190</c:v>
                </c:pt>
                <c:pt idx="151">
                  <c:v>191</c:v>
                </c:pt>
                <c:pt idx="152">
                  <c:v>192</c:v>
                </c:pt>
                <c:pt idx="153">
                  <c:v>193</c:v>
                </c:pt>
                <c:pt idx="154">
                  <c:v>194</c:v>
                </c:pt>
                <c:pt idx="155">
                  <c:v>195</c:v>
                </c:pt>
                <c:pt idx="156">
                  <c:v>196</c:v>
                </c:pt>
                <c:pt idx="157">
                  <c:v>197</c:v>
                </c:pt>
                <c:pt idx="158">
                  <c:v>198</c:v>
                </c:pt>
                <c:pt idx="159">
                  <c:v>199</c:v>
                </c:pt>
                <c:pt idx="160">
                  <c:v>200</c:v>
                </c:pt>
                <c:pt idx="161">
                  <c:v>201</c:v>
                </c:pt>
                <c:pt idx="162">
                  <c:v>202</c:v>
                </c:pt>
                <c:pt idx="163">
                  <c:v>203</c:v>
                </c:pt>
                <c:pt idx="164">
                  <c:v>204</c:v>
                </c:pt>
                <c:pt idx="165">
                  <c:v>205</c:v>
                </c:pt>
                <c:pt idx="166">
                  <c:v>206</c:v>
                </c:pt>
                <c:pt idx="167">
                  <c:v>207</c:v>
                </c:pt>
                <c:pt idx="168">
                  <c:v>208</c:v>
                </c:pt>
                <c:pt idx="169">
                  <c:v>209</c:v>
                </c:pt>
                <c:pt idx="170">
                  <c:v>210</c:v>
                </c:pt>
                <c:pt idx="171">
                  <c:v>211</c:v>
                </c:pt>
                <c:pt idx="172">
                  <c:v>212</c:v>
                </c:pt>
                <c:pt idx="173">
                  <c:v>213</c:v>
                </c:pt>
                <c:pt idx="174">
                  <c:v>214</c:v>
                </c:pt>
                <c:pt idx="175">
                  <c:v>215</c:v>
                </c:pt>
                <c:pt idx="176">
                  <c:v>216</c:v>
                </c:pt>
                <c:pt idx="177">
                  <c:v>217</c:v>
                </c:pt>
                <c:pt idx="178">
                  <c:v>218</c:v>
                </c:pt>
                <c:pt idx="179">
                  <c:v>219</c:v>
                </c:pt>
                <c:pt idx="180">
                  <c:v>220</c:v>
                </c:pt>
                <c:pt idx="181">
                  <c:v>221</c:v>
                </c:pt>
                <c:pt idx="182">
                  <c:v>222</c:v>
                </c:pt>
                <c:pt idx="183">
                  <c:v>223</c:v>
                </c:pt>
                <c:pt idx="184">
                  <c:v>224</c:v>
                </c:pt>
                <c:pt idx="185">
                  <c:v>225</c:v>
                </c:pt>
                <c:pt idx="186">
                  <c:v>226</c:v>
                </c:pt>
                <c:pt idx="187">
                  <c:v>227</c:v>
                </c:pt>
                <c:pt idx="188">
                  <c:v>228</c:v>
                </c:pt>
                <c:pt idx="189">
                  <c:v>229</c:v>
                </c:pt>
                <c:pt idx="190">
                  <c:v>230</c:v>
                </c:pt>
                <c:pt idx="191">
                  <c:v>231</c:v>
                </c:pt>
                <c:pt idx="192">
                  <c:v>232</c:v>
                </c:pt>
                <c:pt idx="193">
                  <c:v>233</c:v>
                </c:pt>
                <c:pt idx="194">
                  <c:v>234</c:v>
                </c:pt>
                <c:pt idx="195">
                  <c:v>235</c:v>
                </c:pt>
                <c:pt idx="196">
                  <c:v>236</c:v>
                </c:pt>
                <c:pt idx="197">
                  <c:v>237</c:v>
                </c:pt>
                <c:pt idx="198">
                  <c:v>238</c:v>
                </c:pt>
                <c:pt idx="199">
                  <c:v>239</c:v>
                </c:pt>
                <c:pt idx="200">
                  <c:v>240</c:v>
                </c:pt>
                <c:pt idx="201">
                  <c:v>241</c:v>
                </c:pt>
                <c:pt idx="202">
                  <c:v>242</c:v>
                </c:pt>
                <c:pt idx="203">
                  <c:v>243</c:v>
                </c:pt>
                <c:pt idx="204">
                  <c:v>244</c:v>
                </c:pt>
                <c:pt idx="205">
                  <c:v>245</c:v>
                </c:pt>
                <c:pt idx="206">
                  <c:v>246</c:v>
                </c:pt>
                <c:pt idx="207">
                  <c:v>247</c:v>
                </c:pt>
                <c:pt idx="208">
                  <c:v>248</c:v>
                </c:pt>
                <c:pt idx="209">
                  <c:v>249</c:v>
                </c:pt>
                <c:pt idx="210">
                  <c:v>250</c:v>
                </c:pt>
              </c:numCache>
            </c:numRef>
          </c:xVal>
          <c:yVal>
            <c:numRef>
              <c:f>'DADOS BRUTOS'!$C$424:$C$634</c:f>
              <c:numCache>
                <c:formatCode>0.00</c:formatCode>
                <c:ptCount val="211"/>
                <c:pt idx="0">
                  <c:v>2.5409999999999999</c:v>
                </c:pt>
                <c:pt idx="1">
                  <c:v>2.5619999999999998</c:v>
                </c:pt>
                <c:pt idx="2">
                  <c:v>2.5829999999999997</c:v>
                </c:pt>
                <c:pt idx="3">
                  <c:v>2.6109999999999998</c:v>
                </c:pt>
                <c:pt idx="4">
                  <c:v>2.7404999999999999</c:v>
                </c:pt>
                <c:pt idx="5">
                  <c:v>2.7650000000000001</c:v>
                </c:pt>
                <c:pt idx="6" formatCode="General">
                  <c:v>3.15</c:v>
                </c:pt>
                <c:pt idx="7" formatCode="General">
                  <c:v>3.18</c:v>
                </c:pt>
                <c:pt idx="8" formatCode="General">
                  <c:v>3.34</c:v>
                </c:pt>
                <c:pt idx="9" formatCode="General">
                  <c:v>3.39</c:v>
                </c:pt>
                <c:pt idx="10" formatCode="General">
                  <c:v>3.43</c:v>
                </c:pt>
                <c:pt idx="11" formatCode="General">
                  <c:v>3.44</c:v>
                </c:pt>
                <c:pt idx="12" formatCode="General">
                  <c:v>3.63</c:v>
                </c:pt>
                <c:pt idx="13" formatCode="General">
                  <c:v>3.66</c:v>
                </c:pt>
                <c:pt idx="14" formatCode="General">
                  <c:v>3.69</c:v>
                </c:pt>
                <c:pt idx="15" formatCode="General">
                  <c:v>3.73</c:v>
                </c:pt>
                <c:pt idx="16" formatCode="General">
                  <c:v>3.915</c:v>
                </c:pt>
                <c:pt idx="17" formatCode="General">
                  <c:v>3.95</c:v>
                </c:pt>
                <c:pt idx="18" formatCode="General">
                  <c:v>4</c:v>
                </c:pt>
                <c:pt idx="19" formatCode="General">
                  <c:v>4.0199999999999996</c:v>
                </c:pt>
                <c:pt idx="20" formatCode="General">
                  <c:v>4.21</c:v>
                </c:pt>
                <c:pt idx="21" formatCode="General">
                  <c:v>4.24</c:v>
                </c:pt>
                <c:pt idx="22" formatCode="General">
                  <c:v>4.29</c:v>
                </c:pt>
                <c:pt idx="23" formatCode="General">
                  <c:v>4.34</c:v>
                </c:pt>
                <c:pt idx="24" formatCode="General">
                  <c:v>4.5449999999999999</c:v>
                </c:pt>
                <c:pt idx="25" formatCode="General">
                  <c:v>4.5999999999999996</c:v>
                </c:pt>
                <c:pt idx="26" formatCode="General">
                  <c:v>4.63</c:v>
                </c:pt>
                <c:pt idx="27" formatCode="General">
                  <c:v>4.67</c:v>
                </c:pt>
                <c:pt idx="28" formatCode="General">
                  <c:v>4.88</c:v>
                </c:pt>
                <c:pt idx="29" formatCode="General">
                  <c:v>4.9249999999999998</c:v>
                </c:pt>
                <c:pt idx="30" formatCode="General">
                  <c:v>4.96</c:v>
                </c:pt>
                <c:pt idx="31" formatCode="General">
                  <c:v>5</c:v>
                </c:pt>
                <c:pt idx="32" formatCode="General">
                  <c:v>5.2</c:v>
                </c:pt>
                <c:pt idx="33" formatCode="General">
                  <c:v>5.3</c:v>
                </c:pt>
                <c:pt idx="34" formatCode="General">
                  <c:v>5.3</c:v>
                </c:pt>
                <c:pt idx="35" formatCode="General">
                  <c:v>5.3</c:v>
                </c:pt>
                <c:pt idx="36" formatCode="General">
                  <c:v>5.6</c:v>
                </c:pt>
                <c:pt idx="37" formatCode="General">
                  <c:v>5.6</c:v>
                </c:pt>
                <c:pt idx="38" formatCode="General">
                  <c:v>5.7</c:v>
                </c:pt>
                <c:pt idx="39" formatCode="General">
                  <c:v>5.7</c:v>
                </c:pt>
                <c:pt idx="40" formatCode="General">
                  <c:v>6</c:v>
                </c:pt>
                <c:pt idx="41" formatCode="General">
                  <c:v>6.1</c:v>
                </c:pt>
                <c:pt idx="42" formatCode="General">
                  <c:v>6.1</c:v>
                </c:pt>
                <c:pt idx="43" formatCode="General">
                  <c:v>6.1</c:v>
                </c:pt>
                <c:pt idx="44" formatCode="General">
                  <c:v>6.4</c:v>
                </c:pt>
                <c:pt idx="45" formatCode="General">
                  <c:v>6.5</c:v>
                </c:pt>
                <c:pt idx="46" formatCode="General">
                  <c:v>6.5</c:v>
                </c:pt>
                <c:pt idx="47" formatCode="General">
                  <c:v>6.6</c:v>
                </c:pt>
                <c:pt idx="48" formatCode="General">
                  <c:v>6.8</c:v>
                </c:pt>
                <c:pt idx="49" formatCode="General">
                  <c:v>6.9</c:v>
                </c:pt>
                <c:pt idx="50" formatCode="General">
                  <c:v>7</c:v>
                </c:pt>
                <c:pt idx="51" formatCode="General">
                  <c:v>7</c:v>
                </c:pt>
                <c:pt idx="52" formatCode="General">
                  <c:v>7.3</c:v>
                </c:pt>
                <c:pt idx="53" formatCode="General">
                  <c:v>7.4</c:v>
                </c:pt>
                <c:pt idx="54" formatCode="General">
                  <c:v>7.5</c:v>
                </c:pt>
                <c:pt idx="55" formatCode="General">
                  <c:v>7.5</c:v>
                </c:pt>
                <c:pt idx="56" formatCode="General">
                  <c:v>7.8</c:v>
                </c:pt>
                <c:pt idx="57" formatCode="General">
                  <c:v>7.9</c:v>
                </c:pt>
                <c:pt idx="58" formatCode="General">
                  <c:v>8</c:v>
                </c:pt>
                <c:pt idx="59" formatCode="General">
                  <c:v>8</c:v>
                </c:pt>
                <c:pt idx="60" formatCode="General">
                  <c:v>8.3000000000000007</c:v>
                </c:pt>
                <c:pt idx="61" formatCode="General">
                  <c:v>8.4</c:v>
                </c:pt>
                <c:pt idx="62" formatCode="General">
                  <c:v>8.5</c:v>
                </c:pt>
                <c:pt idx="63" formatCode="General">
                  <c:v>8.5</c:v>
                </c:pt>
                <c:pt idx="64" formatCode="General">
                  <c:v>8.9</c:v>
                </c:pt>
                <c:pt idx="65" formatCode="General">
                  <c:v>8.9</c:v>
                </c:pt>
                <c:pt idx="66" formatCode="General">
                  <c:v>9</c:v>
                </c:pt>
                <c:pt idx="67" formatCode="General">
                  <c:v>9.1</c:v>
                </c:pt>
                <c:pt idx="68" formatCode="General">
                  <c:v>9.4</c:v>
                </c:pt>
                <c:pt idx="69" formatCode="General">
                  <c:v>9.5</c:v>
                </c:pt>
                <c:pt idx="70" formatCode="General">
                  <c:v>9.6</c:v>
                </c:pt>
                <c:pt idx="71" formatCode="General">
                  <c:v>9.6999999999999993</c:v>
                </c:pt>
                <c:pt idx="72" formatCode="General">
                  <c:v>10</c:v>
                </c:pt>
                <c:pt idx="73" formatCode="General">
                  <c:v>10.1</c:v>
                </c:pt>
                <c:pt idx="74" formatCode="General">
                  <c:v>10.199999999999999</c:v>
                </c:pt>
                <c:pt idx="75" formatCode="General">
                  <c:v>10.3</c:v>
                </c:pt>
                <c:pt idx="76" formatCode="General">
                  <c:v>10.6</c:v>
                </c:pt>
                <c:pt idx="77" formatCode="General">
                  <c:v>10.7</c:v>
                </c:pt>
                <c:pt idx="78" formatCode="General">
                  <c:v>10.8</c:v>
                </c:pt>
                <c:pt idx="79" formatCode="General">
                  <c:v>10.9</c:v>
                </c:pt>
                <c:pt idx="80" formatCode="General">
                  <c:v>11.3</c:v>
                </c:pt>
                <c:pt idx="81" formatCode="General">
                  <c:v>11.4</c:v>
                </c:pt>
                <c:pt idx="82" formatCode="General">
                  <c:v>11.5</c:v>
                </c:pt>
                <c:pt idx="83" formatCode="General">
                  <c:v>11.6</c:v>
                </c:pt>
                <c:pt idx="84" formatCode="General">
                  <c:v>12</c:v>
                </c:pt>
                <c:pt idx="85" formatCode="General">
                  <c:v>12.1</c:v>
                </c:pt>
                <c:pt idx="86" formatCode="General">
                  <c:v>12.2</c:v>
                </c:pt>
                <c:pt idx="87" formatCode="General">
                  <c:v>12.3</c:v>
                </c:pt>
                <c:pt idx="88" formatCode="General">
                  <c:v>12.7</c:v>
                </c:pt>
                <c:pt idx="89" formatCode="General">
                  <c:v>12.8</c:v>
                </c:pt>
                <c:pt idx="90" formatCode="General">
                  <c:v>12.8</c:v>
                </c:pt>
                <c:pt idx="91" formatCode="General">
                  <c:v>12.9</c:v>
                </c:pt>
                <c:pt idx="92" formatCode="General">
                  <c:v>13.4</c:v>
                </c:pt>
                <c:pt idx="93" formatCode="General">
                  <c:v>13.5</c:v>
                </c:pt>
                <c:pt idx="94" formatCode="General">
                  <c:v>13.6</c:v>
                </c:pt>
                <c:pt idx="95" formatCode="General">
                  <c:v>13.7</c:v>
                </c:pt>
                <c:pt idx="96" formatCode="General">
                  <c:v>14.2</c:v>
                </c:pt>
                <c:pt idx="97" formatCode="General">
                  <c:v>14.3</c:v>
                </c:pt>
                <c:pt idx="98" formatCode="General">
                  <c:v>14.4</c:v>
                </c:pt>
                <c:pt idx="99" formatCode="General">
                  <c:v>14.5</c:v>
                </c:pt>
                <c:pt idx="100" formatCode="General">
                  <c:v>15</c:v>
                </c:pt>
                <c:pt idx="101" formatCode="General">
                  <c:v>15.1</c:v>
                </c:pt>
                <c:pt idx="102" formatCode="General">
                  <c:v>15.2</c:v>
                </c:pt>
                <c:pt idx="103" formatCode="General">
                  <c:v>15.3</c:v>
                </c:pt>
                <c:pt idx="104" formatCode="General">
                  <c:v>15.8</c:v>
                </c:pt>
                <c:pt idx="105" formatCode="General">
                  <c:v>15.9</c:v>
                </c:pt>
                <c:pt idx="106" formatCode="General">
                  <c:v>16</c:v>
                </c:pt>
                <c:pt idx="107" formatCode="General">
                  <c:v>16.100000000000001</c:v>
                </c:pt>
                <c:pt idx="108" formatCode="General">
                  <c:v>16.7</c:v>
                </c:pt>
                <c:pt idx="109" formatCode="General">
                  <c:v>16.8</c:v>
                </c:pt>
                <c:pt idx="110" formatCode="General">
                  <c:v>16.899999999999999</c:v>
                </c:pt>
                <c:pt idx="111" formatCode="General">
                  <c:v>17</c:v>
                </c:pt>
                <c:pt idx="112" formatCode="General">
                  <c:v>17.600000000000001</c:v>
                </c:pt>
                <c:pt idx="113" formatCode="General">
                  <c:v>17.7</c:v>
                </c:pt>
                <c:pt idx="114" formatCode="General">
                  <c:v>17.8</c:v>
                </c:pt>
                <c:pt idx="115" formatCode="General">
                  <c:v>17.899999999999999</c:v>
                </c:pt>
                <c:pt idx="116" formatCode="General">
                  <c:v>18.5</c:v>
                </c:pt>
                <c:pt idx="117" formatCode="General">
                  <c:v>18.600000000000001</c:v>
                </c:pt>
                <c:pt idx="118" formatCode="General">
                  <c:v>18.7</c:v>
                </c:pt>
                <c:pt idx="119" formatCode="General">
                  <c:v>18.899999999999999</c:v>
                </c:pt>
                <c:pt idx="120" formatCode="General">
                  <c:v>19.5</c:v>
                </c:pt>
                <c:pt idx="121" formatCode="General">
                  <c:v>19.600000000000001</c:v>
                </c:pt>
                <c:pt idx="122" formatCode="General">
                  <c:v>19.8</c:v>
                </c:pt>
                <c:pt idx="123" formatCode="General">
                  <c:v>19.899999999999999</c:v>
                </c:pt>
                <c:pt idx="124" formatCode="General">
                  <c:v>20.5</c:v>
                </c:pt>
                <c:pt idx="125" formatCode="General">
                  <c:v>20.6</c:v>
                </c:pt>
                <c:pt idx="126" formatCode="General">
                  <c:v>20.7</c:v>
                </c:pt>
                <c:pt idx="127" formatCode="General">
                  <c:v>20.9</c:v>
                </c:pt>
                <c:pt idx="128" formatCode="General">
                  <c:v>21.6</c:v>
                </c:pt>
                <c:pt idx="129" formatCode="General">
                  <c:v>21.7</c:v>
                </c:pt>
                <c:pt idx="130" formatCode="General">
                  <c:v>21.8</c:v>
                </c:pt>
                <c:pt idx="131" formatCode="General">
                  <c:v>21.9</c:v>
                </c:pt>
                <c:pt idx="132" formatCode="General">
                  <c:v>22.6</c:v>
                </c:pt>
                <c:pt idx="133" formatCode="General">
                  <c:v>22.8</c:v>
                </c:pt>
                <c:pt idx="134" formatCode="General">
                  <c:v>23</c:v>
                </c:pt>
                <c:pt idx="135" formatCode="General">
                  <c:v>23.1</c:v>
                </c:pt>
                <c:pt idx="136" formatCode="General">
                  <c:v>23.8</c:v>
                </c:pt>
                <c:pt idx="137" formatCode="General">
                  <c:v>23.9</c:v>
                </c:pt>
                <c:pt idx="138" formatCode="General">
                  <c:v>24.1</c:v>
                </c:pt>
                <c:pt idx="139" formatCode="General">
                  <c:v>24.3</c:v>
                </c:pt>
                <c:pt idx="140" formatCode="General">
                  <c:v>25</c:v>
                </c:pt>
                <c:pt idx="141" formatCode="General">
                  <c:v>25.1</c:v>
                </c:pt>
                <c:pt idx="142" formatCode="General">
                  <c:v>25.3</c:v>
                </c:pt>
                <c:pt idx="143" formatCode="General">
                  <c:v>25.4</c:v>
                </c:pt>
                <c:pt idx="144" formatCode="General">
                  <c:v>26.1</c:v>
                </c:pt>
                <c:pt idx="145" formatCode="General">
                  <c:v>26.3</c:v>
                </c:pt>
                <c:pt idx="146" formatCode="General">
                  <c:v>26.4</c:v>
                </c:pt>
                <c:pt idx="147" formatCode="General">
                  <c:v>26.6</c:v>
                </c:pt>
                <c:pt idx="148" formatCode="General">
                  <c:v>27.4</c:v>
                </c:pt>
                <c:pt idx="149" formatCode="General">
                  <c:v>27.6</c:v>
                </c:pt>
                <c:pt idx="150" formatCode="General">
                  <c:v>27.8</c:v>
                </c:pt>
                <c:pt idx="151" formatCode="General">
                  <c:v>28</c:v>
                </c:pt>
                <c:pt idx="152" formatCode="General">
                  <c:v>28.6</c:v>
                </c:pt>
                <c:pt idx="153" formatCode="General">
                  <c:v>28.9</c:v>
                </c:pt>
                <c:pt idx="154" formatCode="General">
                  <c:v>29.1</c:v>
                </c:pt>
                <c:pt idx="155" formatCode="General">
                  <c:v>29.3</c:v>
                </c:pt>
                <c:pt idx="156" formatCode="General">
                  <c:v>30.1</c:v>
                </c:pt>
                <c:pt idx="157" formatCode="General">
                  <c:v>30.3</c:v>
                </c:pt>
                <c:pt idx="158" formatCode="General">
                  <c:v>30.4</c:v>
                </c:pt>
                <c:pt idx="159" formatCode="General">
                  <c:v>30.6</c:v>
                </c:pt>
                <c:pt idx="160" formatCode="General">
                  <c:v>31.5</c:v>
                </c:pt>
                <c:pt idx="161" formatCode="General">
                  <c:v>31.7</c:v>
                </c:pt>
                <c:pt idx="162" formatCode="General">
                  <c:v>31.9</c:v>
                </c:pt>
                <c:pt idx="163" formatCode="General">
                  <c:v>32</c:v>
                </c:pt>
                <c:pt idx="164" formatCode="General">
                  <c:v>32.9</c:v>
                </c:pt>
                <c:pt idx="165" formatCode="General">
                  <c:v>33.1</c:v>
                </c:pt>
                <c:pt idx="166" formatCode="General">
                  <c:v>33.200000000000003</c:v>
                </c:pt>
                <c:pt idx="167" formatCode="General">
                  <c:v>33.5</c:v>
                </c:pt>
                <c:pt idx="168" formatCode="General">
                  <c:v>34.4</c:v>
                </c:pt>
                <c:pt idx="169" formatCode="General">
                  <c:v>34.6</c:v>
                </c:pt>
                <c:pt idx="170" formatCode="General">
                  <c:v>34.799999999999997</c:v>
                </c:pt>
                <c:pt idx="171" formatCode="General">
                  <c:v>35</c:v>
                </c:pt>
                <c:pt idx="172" formatCode="General">
                  <c:v>35.9</c:v>
                </c:pt>
                <c:pt idx="173" formatCode="General">
                  <c:v>36.200000000000003</c:v>
                </c:pt>
                <c:pt idx="174" formatCode="General">
                  <c:v>36.4</c:v>
                </c:pt>
                <c:pt idx="175" formatCode="General">
                  <c:v>36.5</c:v>
                </c:pt>
                <c:pt idx="176" formatCode="General">
                  <c:v>37.5</c:v>
                </c:pt>
                <c:pt idx="177" formatCode="General">
                  <c:v>37.700000000000003</c:v>
                </c:pt>
                <c:pt idx="178" formatCode="General">
                  <c:v>37.9</c:v>
                </c:pt>
                <c:pt idx="179" formatCode="General">
                  <c:v>38.1</c:v>
                </c:pt>
                <c:pt idx="180" formatCode="General">
                  <c:v>39.200000000000003</c:v>
                </c:pt>
                <c:pt idx="181" formatCode="General">
                  <c:v>39.4</c:v>
                </c:pt>
                <c:pt idx="182" formatCode="General">
                  <c:v>39.700000000000003</c:v>
                </c:pt>
                <c:pt idx="183" formatCode="General">
                  <c:v>39.799999999999997</c:v>
                </c:pt>
                <c:pt idx="184" formatCode="General">
                  <c:v>41</c:v>
                </c:pt>
                <c:pt idx="185" formatCode="General">
                  <c:v>41.3</c:v>
                </c:pt>
                <c:pt idx="186" formatCode="General">
                  <c:v>41.4</c:v>
                </c:pt>
                <c:pt idx="187" formatCode="General">
                  <c:v>41.6</c:v>
                </c:pt>
                <c:pt idx="188" formatCode="General">
                  <c:v>42.6</c:v>
                </c:pt>
                <c:pt idx="189" formatCode="General">
                  <c:v>42.9</c:v>
                </c:pt>
                <c:pt idx="190" formatCode="General">
                  <c:v>43.1</c:v>
                </c:pt>
                <c:pt idx="191" formatCode="General">
                  <c:v>43.3</c:v>
                </c:pt>
                <c:pt idx="192" formatCode="General">
                  <c:v>44.5</c:v>
                </c:pt>
                <c:pt idx="193" formatCode="General">
                  <c:v>44.7</c:v>
                </c:pt>
                <c:pt idx="194" formatCode="General">
                  <c:v>44.9</c:v>
                </c:pt>
                <c:pt idx="195" formatCode="General">
                  <c:v>45.1</c:v>
                </c:pt>
                <c:pt idx="196" formatCode="General">
                  <c:v>46.3</c:v>
                </c:pt>
                <c:pt idx="197" formatCode="General">
                  <c:v>46.6</c:v>
                </c:pt>
                <c:pt idx="198" formatCode="General">
                  <c:v>46.9</c:v>
                </c:pt>
                <c:pt idx="199" formatCode="General">
                  <c:v>47.1</c:v>
                </c:pt>
                <c:pt idx="200" formatCode="General">
                  <c:v>48.3</c:v>
                </c:pt>
                <c:pt idx="201" formatCode="General">
                  <c:v>48.5</c:v>
                </c:pt>
                <c:pt idx="202" formatCode="General">
                  <c:v>48.7</c:v>
                </c:pt>
                <c:pt idx="203" formatCode="General">
                  <c:v>49</c:v>
                </c:pt>
                <c:pt idx="204" formatCode="General">
                  <c:v>50.2</c:v>
                </c:pt>
                <c:pt idx="205" formatCode="General">
                  <c:v>50.6</c:v>
                </c:pt>
                <c:pt idx="206" formatCode="General">
                  <c:v>51</c:v>
                </c:pt>
                <c:pt idx="207" formatCode="General">
                  <c:v>51.6</c:v>
                </c:pt>
                <c:pt idx="208" formatCode="General">
                  <c:v>52</c:v>
                </c:pt>
                <c:pt idx="209" formatCode="General">
                  <c:v>52.6</c:v>
                </c:pt>
                <c:pt idx="210" formatCode="General">
                  <c:v>52.9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1C-4185-AB79-2C025B1A9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989791"/>
        <c:axId val="286984031"/>
      </c:scatterChart>
      <c:valAx>
        <c:axId val="28698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6984031"/>
        <c:crosses val="autoZero"/>
        <c:crossBetween val="midCat"/>
      </c:valAx>
      <c:valAx>
        <c:axId val="28698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6989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19 ANOS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'DADOS BRUTOS'!$B$213:$B$423</c:f>
              <c:numCache>
                <c:formatCode>General</c:formatCode>
                <c:ptCount val="211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  <c:pt idx="15">
                  <c:v>55</c:v>
                </c:pt>
                <c:pt idx="16">
                  <c:v>56</c:v>
                </c:pt>
                <c:pt idx="17">
                  <c:v>57</c:v>
                </c:pt>
                <c:pt idx="18">
                  <c:v>58</c:v>
                </c:pt>
                <c:pt idx="19">
                  <c:v>59</c:v>
                </c:pt>
                <c:pt idx="20">
                  <c:v>60</c:v>
                </c:pt>
                <c:pt idx="21">
                  <c:v>61</c:v>
                </c:pt>
                <c:pt idx="22">
                  <c:v>62</c:v>
                </c:pt>
                <c:pt idx="23">
                  <c:v>63</c:v>
                </c:pt>
                <c:pt idx="24">
                  <c:v>64</c:v>
                </c:pt>
                <c:pt idx="25">
                  <c:v>65</c:v>
                </c:pt>
                <c:pt idx="26">
                  <c:v>66</c:v>
                </c:pt>
                <c:pt idx="27">
                  <c:v>67</c:v>
                </c:pt>
                <c:pt idx="28">
                  <c:v>68</c:v>
                </c:pt>
                <c:pt idx="29">
                  <c:v>69</c:v>
                </c:pt>
                <c:pt idx="30">
                  <c:v>70</c:v>
                </c:pt>
                <c:pt idx="31">
                  <c:v>71</c:v>
                </c:pt>
                <c:pt idx="32">
                  <c:v>72</c:v>
                </c:pt>
                <c:pt idx="33">
                  <c:v>73</c:v>
                </c:pt>
                <c:pt idx="34">
                  <c:v>74</c:v>
                </c:pt>
                <c:pt idx="35">
                  <c:v>75</c:v>
                </c:pt>
                <c:pt idx="36">
                  <c:v>76</c:v>
                </c:pt>
                <c:pt idx="37">
                  <c:v>77</c:v>
                </c:pt>
                <c:pt idx="38">
                  <c:v>78</c:v>
                </c:pt>
                <c:pt idx="39">
                  <c:v>79</c:v>
                </c:pt>
                <c:pt idx="40">
                  <c:v>80</c:v>
                </c:pt>
                <c:pt idx="41">
                  <c:v>81</c:v>
                </c:pt>
                <c:pt idx="42">
                  <c:v>82</c:v>
                </c:pt>
                <c:pt idx="43">
                  <c:v>83</c:v>
                </c:pt>
                <c:pt idx="44">
                  <c:v>84</c:v>
                </c:pt>
                <c:pt idx="45">
                  <c:v>85</c:v>
                </c:pt>
                <c:pt idx="46">
                  <c:v>86</c:v>
                </c:pt>
                <c:pt idx="47">
                  <c:v>87</c:v>
                </c:pt>
                <c:pt idx="48">
                  <c:v>88</c:v>
                </c:pt>
                <c:pt idx="49">
                  <c:v>89</c:v>
                </c:pt>
                <c:pt idx="50">
                  <c:v>90</c:v>
                </c:pt>
                <c:pt idx="51">
                  <c:v>91</c:v>
                </c:pt>
                <c:pt idx="52">
                  <c:v>92</c:v>
                </c:pt>
                <c:pt idx="53">
                  <c:v>93</c:v>
                </c:pt>
                <c:pt idx="54">
                  <c:v>94</c:v>
                </c:pt>
                <c:pt idx="55">
                  <c:v>95</c:v>
                </c:pt>
                <c:pt idx="56">
                  <c:v>96</c:v>
                </c:pt>
                <c:pt idx="57">
                  <c:v>97</c:v>
                </c:pt>
                <c:pt idx="58">
                  <c:v>98</c:v>
                </c:pt>
                <c:pt idx="59">
                  <c:v>99</c:v>
                </c:pt>
                <c:pt idx="60">
                  <c:v>100</c:v>
                </c:pt>
                <c:pt idx="61">
                  <c:v>101</c:v>
                </c:pt>
                <c:pt idx="62">
                  <c:v>102</c:v>
                </c:pt>
                <c:pt idx="63">
                  <c:v>103</c:v>
                </c:pt>
                <c:pt idx="64">
                  <c:v>104</c:v>
                </c:pt>
                <c:pt idx="65">
                  <c:v>105</c:v>
                </c:pt>
                <c:pt idx="66">
                  <c:v>106</c:v>
                </c:pt>
                <c:pt idx="67">
                  <c:v>107</c:v>
                </c:pt>
                <c:pt idx="68">
                  <c:v>108</c:v>
                </c:pt>
                <c:pt idx="69">
                  <c:v>109</c:v>
                </c:pt>
                <c:pt idx="70">
                  <c:v>110</c:v>
                </c:pt>
                <c:pt idx="71">
                  <c:v>111</c:v>
                </c:pt>
                <c:pt idx="72">
                  <c:v>112</c:v>
                </c:pt>
                <c:pt idx="73">
                  <c:v>113</c:v>
                </c:pt>
                <c:pt idx="74">
                  <c:v>114</c:v>
                </c:pt>
                <c:pt idx="75">
                  <c:v>115</c:v>
                </c:pt>
                <c:pt idx="76">
                  <c:v>116</c:v>
                </c:pt>
                <c:pt idx="77">
                  <c:v>117</c:v>
                </c:pt>
                <c:pt idx="78">
                  <c:v>118</c:v>
                </c:pt>
                <c:pt idx="79">
                  <c:v>119</c:v>
                </c:pt>
                <c:pt idx="80">
                  <c:v>120</c:v>
                </c:pt>
                <c:pt idx="81">
                  <c:v>121</c:v>
                </c:pt>
                <c:pt idx="82">
                  <c:v>122</c:v>
                </c:pt>
                <c:pt idx="83">
                  <c:v>123</c:v>
                </c:pt>
                <c:pt idx="84">
                  <c:v>124</c:v>
                </c:pt>
                <c:pt idx="85">
                  <c:v>125</c:v>
                </c:pt>
                <c:pt idx="86">
                  <c:v>126</c:v>
                </c:pt>
                <c:pt idx="87">
                  <c:v>127</c:v>
                </c:pt>
                <c:pt idx="88">
                  <c:v>128</c:v>
                </c:pt>
                <c:pt idx="89">
                  <c:v>129</c:v>
                </c:pt>
                <c:pt idx="90">
                  <c:v>130</c:v>
                </c:pt>
                <c:pt idx="91">
                  <c:v>131</c:v>
                </c:pt>
                <c:pt idx="92">
                  <c:v>132</c:v>
                </c:pt>
                <c:pt idx="93">
                  <c:v>133</c:v>
                </c:pt>
                <c:pt idx="94">
                  <c:v>134</c:v>
                </c:pt>
                <c:pt idx="95">
                  <c:v>135</c:v>
                </c:pt>
                <c:pt idx="96">
                  <c:v>136</c:v>
                </c:pt>
                <c:pt idx="97">
                  <c:v>137</c:v>
                </c:pt>
                <c:pt idx="98">
                  <c:v>138</c:v>
                </c:pt>
                <c:pt idx="99">
                  <c:v>139</c:v>
                </c:pt>
                <c:pt idx="100">
                  <c:v>140</c:v>
                </c:pt>
                <c:pt idx="101">
                  <c:v>141</c:v>
                </c:pt>
                <c:pt idx="102">
                  <c:v>142</c:v>
                </c:pt>
                <c:pt idx="103">
                  <c:v>143</c:v>
                </c:pt>
                <c:pt idx="104">
                  <c:v>144</c:v>
                </c:pt>
                <c:pt idx="105">
                  <c:v>145</c:v>
                </c:pt>
                <c:pt idx="106">
                  <c:v>146</c:v>
                </c:pt>
                <c:pt idx="107">
                  <c:v>147</c:v>
                </c:pt>
                <c:pt idx="108">
                  <c:v>148</c:v>
                </c:pt>
                <c:pt idx="109">
                  <c:v>149</c:v>
                </c:pt>
                <c:pt idx="110">
                  <c:v>150</c:v>
                </c:pt>
                <c:pt idx="111">
                  <c:v>151</c:v>
                </c:pt>
                <c:pt idx="112">
                  <c:v>152</c:v>
                </c:pt>
                <c:pt idx="113">
                  <c:v>153</c:v>
                </c:pt>
                <c:pt idx="114">
                  <c:v>154</c:v>
                </c:pt>
                <c:pt idx="115">
                  <c:v>155</c:v>
                </c:pt>
                <c:pt idx="116">
                  <c:v>156</c:v>
                </c:pt>
                <c:pt idx="117">
                  <c:v>157</c:v>
                </c:pt>
                <c:pt idx="118">
                  <c:v>158</c:v>
                </c:pt>
                <c:pt idx="119">
                  <c:v>159</c:v>
                </c:pt>
                <c:pt idx="120">
                  <c:v>160</c:v>
                </c:pt>
                <c:pt idx="121">
                  <c:v>161</c:v>
                </c:pt>
                <c:pt idx="122">
                  <c:v>162</c:v>
                </c:pt>
                <c:pt idx="123">
                  <c:v>163</c:v>
                </c:pt>
                <c:pt idx="124">
                  <c:v>164</c:v>
                </c:pt>
                <c:pt idx="125">
                  <c:v>165</c:v>
                </c:pt>
                <c:pt idx="126">
                  <c:v>166</c:v>
                </c:pt>
                <c:pt idx="127">
                  <c:v>167</c:v>
                </c:pt>
                <c:pt idx="128">
                  <c:v>168</c:v>
                </c:pt>
                <c:pt idx="129">
                  <c:v>169</c:v>
                </c:pt>
                <c:pt idx="130">
                  <c:v>170</c:v>
                </c:pt>
                <c:pt idx="131">
                  <c:v>171</c:v>
                </c:pt>
                <c:pt idx="132">
                  <c:v>172</c:v>
                </c:pt>
                <c:pt idx="133">
                  <c:v>173</c:v>
                </c:pt>
                <c:pt idx="134">
                  <c:v>174</c:v>
                </c:pt>
                <c:pt idx="135">
                  <c:v>175</c:v>
                </c:pt>
                <c:pt idx="136">
                  <c:v>176</c:v>
                </c:pt>
                <c:pt idx="137">
                  <c:v>177</c:v>
                </c:pt>
                <c:pt idx="138">
                  <c:v>178</c:v>
                </c:pt>
                <c:pt idx="139">
                  <c:v>179</c:v>
                </c:pt>
                <c:pt idx="140">
                  <c:v>180</c:v>
                </c:pt>
                <c:pt idx="141">
                  <c:v>181</c:v>
                </c:pt>
                <c:pt idx="142">
                  <c:v>182</c:v>
                </c:pt>
                <c:pt idx="143">
                  <c:v>183</c:v>
                </c:pt>
                <c:pt idx="144">
                  <c:v>184</c:v>
                </c:pt>
                <c:pt idx="145">
                  <c:v>185</c:v>
                </c:pt>
                <c:pt idx="146">
                  <c:v>186</c:v>
                </c:pt>
                <c:pt idx="147">
                  <c:v>187</c:v>
                </c:pt>
                <c:pt idx="148">
                  <c:v>188</c:v>
                </c:pt>
                <c:pt idx="149">
                  <c:v>189</c:v>
                </c:pt>
                <c:pt idx="150">
                  <c:v>190</c:v>
                </c:pt>
                <c:pt idx="151">
                  <c:v>191</c:v>
                </c:pt>
                <c:pt idx="152">
                  <c:v>192</c:v>
                </c:pt>
                <c:pt idx="153">
                  <c:v>193</c:v>
                </c:pt>
                <c:pt idx="154">
                  <c:v>194</c:v>
                </c:pt>
                <c:pt idx="155">
                  <c:v>195</c:v>
                </c:pt>
                <c:pt idx="156">
                  <c:v>196</c:v>
                </c:pt>
                <c:pt idx="157">
                  <c:v>197</c:v>
                </c:pt>
                <c:pt idx="158">
                  <c:v>198</c:v>
                </c:pt>
                <c:pt idx="159">
                  <c:v>199</c:v>
                </c:pt>
                <c:pt idx="160">
                  <c:v>200</c:v>
                </c:pt>
                <c:pt idx="161">
                  <c:v>201</c:v>
                </c:pt>
                <c:pt idx="162">
                  <c:v>202</c:v>
                </c:pt>
                <c:pt idx="163">
                  <c:v>203</c:v>
                </c:pt>
                <c:pt idx="164">
                  <c:v>204</c:v>
                </c:pt>
                <c:pt idx="165">
                  <c:v>205</c:v>
                </c:pt>
                <c:pt idx="166">
                  <c:v>206</c:v>
                </c:pt>
                <c:pt idx="167">
                  <c:v>207</c:v>
                </c:pt>
                <c:pt idx="168">
                  <c:v>208</c:v>
                </c:pt>
                <c:pt idx="169">
                  <c:v>209</c:v>
                </c:pt>
                <c:pt idx="170">
                  <c:v>210</c:v>
                </c:pt>
                <c:pt idx="171">
                  <c:v>211</c:v>
                </c:pt>
                <c:pt idx="172">
                  <c:v>212</c:v>
                </c:pt>
                <c:pt idx="173">
                  <c:v>213</c:v>
                </c:pt>
                <c:pt idx="174">
                  <c:v>214</c:v>
                </c:pt>
                <c:pt idx="175">
                  <c:v>215</c:v>
                </c:pt>
                <c:pt idx="176">
                  <c:v>216</c:v>
                </c:pt>
                <c:pt idx="177">
                  <c:v>217</c:v>
                </c:pt>
                <c:pt idx="178">
                  <c:v>218</c:v>
                </c:pt>
                <c:pt idx="179">
                  <c:v>219</c:v>
                </c:pt>
                <c:pt idx="180">
                  <c:v>220</c:v>
                </c:pt>
                <c:pt idx="181">
                  <c:v>221</c:v>
                </c:pt>
                <c:pt idx="182">
                  <c:v>222</c:v>
                </c:pt>
                <c:pt idx="183">
                  <c:v>223</c:v>
                </c:pt>
                <c:pt idx="184">
                  <c:v>224</c:v>
                </c:pt>
                <c:pt idx="185">
                  <c:v>225</c:v>
                </c:pt>
                <c:pt idx="186">
                  <c:v>226</c:v>
                </c:pt>
                <c:pt idx="187">
                  <c:v>227</c:v>
                </c:pt>
                <c:pt idx="188">
                  <c:v>228</c:v>
                </c:pt>
                <c:pt idx="189">
                  <c:v>229</c:v>
                </c:pt>
                <c:pt idx="190">
                  <c:v>230</c:v>
                </c:pt>
                <c:pt idx="191">
                  <c:v>231</c:v>
                </c:pt>
                <c:pt idx="192">
                  <c:v>232</c:v>
                </c:pt>
                <c:pt idx="193">
                  <c:v>233</c:v>
                </c:pt>
                <c:pt idx="194">
                  <c:v>234</c:v>
                </c:pt>
                <c:pt idx="195">
                  <c:v>235</c:v>
                </c:pt>
                <c:pt idx="196">
                  <c:v>236</c:v>
                </c:pt>
                <c:pt idx="197">
                  <c:v>237</c:v>
                </c:pt>
                <c:pt idx="198">
                  <c:v>238</c:v>
                </c:pt>
                <c:pt idx="199">
                  <c:v>239</c:v>
                </c:pt>
                <c:pt idx="200">
                  <c:v>240</c:v>
                </c:pt>
                <c:pt idx="201">
                  <c:v>241</c:v>
                </c:pt>
                <c:pt idx="202">
                  <c:v>242</c:v>
                </c:pt>
                <c:pt idx="203">
                  <c:v>243</c:v>
                </c:pt>
                <c:pt idx="204">
                  <c:v>244</c:v>
                </c:pt>
                <c:pt idx="205">
                  <c:v>245</c:v>
                </c:pt>
                <c:pt idx="206">
                  <c:v>246</c:v>
                </c:pt>
                <c:pt idx="207">
                  <c:v>247</c:v>
                </c:pt>
                <c:pt idx="208">
                  <c:v>248</c:v>
                </c:pt>
                <c:pt idx="209">
                  <c:v>249</c:v>
                </c:pt>
                <c:pt idx="210">
                  <c:v>250</c:v>
                </c:pt>
              </c:numCache>
            </c:numRef>
          </c:xVal>
          <c:yVal>
            <c:numRef>
              <c:f>'DADOS BRUTOS'!$C$213:$C$423</c:f>
              <c:numCache>
                <c:formatCode>General</c:formatCode>
                <c:ptCount val="211"/>
                <c:pt idx="0">
                  <c:v>3.63</c:v>
                </c:pt>
                <c:pt idx="1">
                  <c:v>3.66</c:v>
                </c:pt>
                <c:pt idx="2">
                  <c:v>3.69</c:v>
                </c:pt>
                <c:pt idx="3">
                  <c:v>3.73</c:v>
                </c:pt>
                <c:pt idx="4">
                  <c:v>3.915</c:v>
                </c:pt>
                <c:pt idx="5">
                  <c:v>3.95</c:v>
                </c:pt>
                <c:pt idx="6">
                  <c:v>4</c:v>
                </c:pt>
                <c:pt idx="7">
                  <c:v>4.0199999999999996</c:v>
                </c:pt>
                <c:pt idx="8">
                  <c:v>4.0199999999999996</c:v>
                </c:pt>
                <c:pt idx="9">
                  <c:v>4.24</c:v>
                </c:pt>
                <c:pt idx="10">
                  <c:v>4.3</c:v>
                </c:pt>
                <c:pt idx="11">
                  <c:v>4.34</c:v>
                </c:pt>
                <c:pt idx="12">
                  <c:v>4.5449999999999999</c:v>
                </c:pt>
                <c:pt idx="13">
                  <c:v>4.5999999999999996</c:v>
                </c:pt>
                <c:pt idx="14">
                  <c:v>4.63</c:v>
                </c:pt>
                <c:pt idx="15">
                  <c:v>4.67</c:v>
                </c:pt>
                <c:pt idx="16">
                  <c:v>4.88</c:v>
                </c:pt>
                <c:pt idx="17">
                  <c:v>4.9249999999999998</c:v>
                </c:pt>
                <c:pt idx="18">
                  <c:v>4.96</c:v>
                </c:pt>
                <c:pt idx="19">
                  <c:v>5</c:v>
                </c:pt>
                <c:pt idx="20">
                  <c:v>5.2</c:v>
                </c:pt>
                <c:pt idx="21">
                  <c:v>5.3</c:v>
                </c:pt>
                <c:pt idx="22">
                  <c:v>5.3</c:v>
                </c:pt>
                <c:pt idx="23">
                  <c:v>5.3</c:v>
                </c:pt>
                <c:pt idx="24">
                  <c:v>5.6</c:v>
                </c:pt>
                <c:pt idx="25">
                  <c:v>5.6</c:v>
                </c:pt>
                <c:pt idx="26">
                  <c:v>5.7</c:v>
                </c:pt>
                <c:pt idx="27">
                  <c:v>5.7</c:v>
                </c:pt>
                <c:pt idx="28">
                  <c:v>6</c:v>
                </c:pt>
                <c:pt idx="29">
                  <c:v>6.1</c:v>
                </c:pt>
                <c:pt idx="30">
                  <c:v>6.1</c:v>
                </c:pt>
                <c:pt idx="31">
                  <c:v>6.1</c:v>
                </c:pt>
                <c:pt idx="32">
                  <c:v>6.4</c:v>
                </c:pt>
                <c:pt idx="33">
                  <c:v>6.5</c:v>
                </c:pt>
                <c:pt idx="34">
                  <c:v>6.5</c:v>
                </c:pt>
                <c:pt idx="35">
                  <c:v>6.6</c:v>
                </c:pt>
                <c:pt idx="36">
                  <c:v>6.8</c:v>
                </c:pt>
                <c:pt idx="37">
                  <c:v>6.9</c:v>
                </c:pt>
                <c:pt idx="38">
                  <c:v>7</c:v>
                </c:pt>
                <c:pt idx="39">
                  <c:v>7</c:v>
                </c:pt>
                <c:pt idx="40">
                  <c:v>7.3</c:v>
                </c:pt>
                <c:pt idx="41">
                  <c:v>7.4</c:v>
                </c:pt>
                <c:pt idx="42">
                  <c:v>7.5</c:v>
                </c:pt>
                <c:pt idx="43">
                  <c:v>7.5</c:v>
                </c:pt>
                <c:pt idx="44">
                  <c:v>7.8</c:v>
                </c:pt>
                <c:pt idx="45">
                  <c:v>7.9</c:v>
                </c:pt>
                <c:pt idx="46">
                  <c:v>8</c:v>
                </c:pt>
                <c:pt idx="47">
                  <c:v>8</c:v>
                </c:pt>
                <c:pt idx="48">
                  <c:v>8.3000000000000007</c:v>
                </c:pt>
                <c:pt idx="49">
                  <c:v>8.4</c:v>
                </c:pt>
                <c:pt idx="50">
                  <c:v>8.5</c:v>
                </c:pt>
                <c:pt idx="51">
                  <c:v>8.5</c:v>
                </c:pt>
                <c:pt idx="52">
                  <c:v>8.9</c:v>
                </c:pt>
                <c:pt idx="53">
                  <c:v>8.9</c:v>
                </c:pt>
                <c:pt idx="54">
                  <c:v>9</c:v>
                </c:pt>
                <c:pt idx="55">
                  <c:v>9.1</c:v>
                </c:pt>
                <c:pt idx="56">
                  <c:v>9.4</c:v>
                </c:pt>
                <c:pt idx="57">
                  <c:v>9.5</c:v>
                </c:pt>
                <c:pt idx="58">
                  <c:v>9.6</c:v>
                </c:pt>
                <c:pt idx="59">
                  <c:v>9.6999999999999993</c:v>
                </c:pt>
                <c:pt idx="60">
                  <c:v>10</c:v>
                </c:pt>
                <c:pt idx="61">
                  <c:v>10.1</c:v>
                </c:pt>
                <c:pt idx="62">
                  <c:v>10.199999999999999</c:v>
                </c:pt>
                <c:pt idx="63">
                  <c:v>10.3</c:v>
                </c:pt>
                <c:pt idx="64">
                  <c:v>10.6</c:v>
                </c:pt>
                <c:pt idx="65">
                  <c:v>10.7</c:v>
                </c:pt>
                <c:pt idx="66">
                  <c:v>10.8</c:v>
                </c:pt>
                <c:pt idx="67">
                  <c:v>10.9</c:v>
                </c:pt>
                <c:pt idx="68">
                  <c:v>11.3</c:v>
                </c:pt>
                <c:pt idx="69">
                  <c:v>11.4</c:v>
                </c:pt>
                <c:pt idx="70">
                  <c:v>11.5</c:v>
                </c:pt>
                <c:pt idx="71">
                  <c:v>11.6</c:v>
                </c:pt>
                <c:pt idx="72">
                  <c:v>12</c:v>
                </c:pt>
                <c:pt idx="73">
                  <c:v>12.1</c:v>
                </c:pt>
                <c:pt idx="74">
                  <c:v>12.2</c:v>
                </c:pt>
                <c:pt idx="75">
                  <c:v>12.3</c:v>
                </c:pt>
                <c:pt idx="76">
                  <c:v>12.7</c:v>
                </c:pt>
                <c:pt idx="77">
                  <c:v>12.8</c:v>
                </c:pt>
                <c:pt idx="78">
                  <c:v>12.8</c:v>
                </c:pt>
                <c:pt idx="79">
                  <c:v>12.9</c:v>
                </c:pt>
                <c:pt idx="80">
                  <c:v>13.4</c:v>
                </c:pt>
                <c:pt idx="81">
                  <c:v>13.5</c:v>
                </c:pt>
                <c:pt idx="82">
                  <c:v>13.6</c:v>
                </c:pt>
                <c:pt idx="83">
                  <c:v>13.7</c:v>
                </c:pt>
                <c:pt idx="84">
                  <c:v>14.2</c:v>
                </c:pt>
                <c:pt idx="85">
                  <c:v>14.3</c:v>
                </c:pt>
                <c:pt idx="86">
                  <c:v>14.4</c:v>
                </c:pt>
                <c:pt idx="87">
                  <c:v>14.5</c:v>
                </c:pt>
                <c:pt idx="88">
                  <c:v>15</c:v>
                </c:pt>
                <c:pt idx="89">
                  <c:v>15.1</c:v>
                </c:pt>
                <c:pt idx="90">
                  <c:v>15.2</c:v>
                </c:pt>
                <c:pt idx="91">
                  <c:v>15.3</c:v>
                </c:pt>
                <c:pt idx="92">
                  <c:v>15.8</c:v>
                </c:pt>
                <c:pt idx="93">
                  <c:v>15.9</c:v>
                </c:pt>
                <c:pt idx="94">
                  <c:v>16</c:v>
                </c:pt>
                <c:pt idx="95">
                  <c:v>16.100000000000001</c:v>
                </c:pt>
                <c:pt idx="96">
                  <c:v>16.7</c:v>
                </c:pt>
                <c:pt idx="97">
                  <c:v>16.8</c:v>
                </c:pt>
                <c:pt idx="98">
                  <c:v>16.899999999999999</c:v>
                </c:pt>
                <c:pt idx="99">
                  <c:v>17</c:v>
                </c:pt>
                <c:pt idx="100">
                  <c:v>17.600000000000001</c:v>
                </c:pt>
                <c:pt idx="101">
                  <c:v>17.7</c:v>
                </c:pt>
                <c:pt idx="102">
                  <c:v>17.8</c:v>
                </c:pt>
                <c:pt idx="103">
                  <c:v>17.899999999999999</c:v>
                </c:pt>
                <c:pt idx="104">
                  <c:v>18.5</c:v>
                </c:pt>
                <c:pt idx="105">
                  <c:v>18.600000000000001</c:v>
                </c:pt>
                <c:pt idx="106">
                  <c:v>18.7</c:v>
                </c:pt>
                <c:pt idx="107">
                  <c:v>18.899999999999999</c:v>
                </c:pt>
                <c:pt idx="108">
                  <c:v>19.5</c:v>
                </c:pt>
                <c:pt idx="109">
                  <c:v>19.600000000000001</c:v>
                </c:pt>
                <c:pt idx="110">
                  <c:v>19.8</c:v>
                </c:pt>
                <c:pt idx="111">
                  <c:v>19.899999999999999</c:v>
                </c:pt>
                <c:pt idx="112">
                  <c:v>20.5</c:v>
                </c:pt>
                <c:pt idx="113">
                  <c:v>20.6</c:v>
                </c:pt>
                <c:pt idx="114">
                  <c:v>20.7</c:v>
                </c:pt>
                <c:pt idx="115">
                  <c:v>20.9</c:v>
                </c:pt>
                <c:pt idx="116">
                  <c:v>21.6</c:v>
                </c:pt>
                <c:pt idx="117">
                  <c:v>21.7</c:v>
                </c:pt>
                <c:pt idx="118">
                  <c:v>21.8</c:v>
                </c:pt>
                <c:pt idx="119">
                  <c:v>21.9</c:v>
                </c:pt>
                <c:pt idx="120">
                  <c:v>22.6</c:v>
                </c:pt>
                <c:pt idx="121">
                  <c:v>22.8</c:v>
                </c:pt>
                <c:pt idx="122">
                  <c:v>23</c:v>
                </c:pt>
                <c:pt idx="123">
                  <c:v>23.1</c:v>
                </c:pt>
                <c:pt idx="124">
                  <c:v>23.8</c:v>
                </c:pt>
                <c:pt idx="125">
                  <c:v>23.9</c:v>
                </c:pt>
                <c:pt idx="126">
                  <c:v>24.1</c:v>
                </c:pt>
                <c:pt idx="127">
                  <c:v>24.3</c:v>
                </c:pt>
                <c:pt idx="128">
                  <c:v>25</c:v>
                </c:pt>
                <c:pt idx="129">
                  <c:v>25.1</c:v>
                </c:pt>
                <c:pt idx="130">
                  <c:v>25.3</c:v>
                </c:pt>
                <c:pt idx="131">
                  <c:v>25.4</c:v>
                </c:pt>
                <c:pt idx="132">
                  <c:v>26.1</c:v>
                </c:pt>
                <c:pt idx="133">
                  <c:v>26.3</c:v>
                </c:pt>
                <c:pt idx="134">
                  <c:v>26.4</c:v>
                </c:pt>
                <c:pt idx="135">
                  <c:v>26.6</c:v>
                </c:pt>
                <c:pt idx="136">
                  <c:v>27.4</c:v>
                </c:pt>
                <c:pt idx="137">
                  <c:v>27.6</c:v>
                </c:pt>
                <c:pt idx="138">
                  <c:v>27.8</c:v>
                </c:pt>
                <c:pt idx="139">
                  <c:v>28</c:v>
                </c:pt>
                <c:pt idx="140">
                  <c:v>28.6</c:v>
                </c:pt>
                <c:pt idx="141">
                  <c:v>28.9</c:v>
                </c:pt>
                <c:pt idx="142">
                  <c:v>29.1</c:v>
                </c:pt>
                <c:pt idx="143">
                  <c:v>29.3</c:v>
                </c:pt>
                <c:pt idx="144">
                  <c:v>30.1</c:v>
                </c:pt>
                <c:pt idx="145">
                  <c:v>30.3</c:v>
                </c:pt>
                <c:pt idx="146">
                  <c:v>30.4</c:v>
                </c:pt>
                <c:pt idx="147">
                  <c:v>30.6</c:v>
                </c:pt>
                <c:pt idx="148">
                  <c:v>31.5</c:v>
                </c:pt>
                <c:pt idx="149">
                  <c:v>31.7</c:v>
                </c:pt>
                <c:pt idx="150">
                  <c:v>31.9</c:v>
                </c:pt>
                <c:pt idx="151">
                  <c:v>32</c:v>
                </c:pt>
                <c:pt idx="152">
                  <c:v>32.9</c:v>
                </c:pt>
                <c:pt idx="153">
                  <c:v>33.1</c:v>
                </c:pt>
                <c:pt idx="154">
                  <c:v>33.200000000000003</c:v>
                </c:pt>
                <c:pt idx="155">
                  <c:v>33.5</c:v>
                </c:pt>
                <c:pt idx="156">
                  <c:v>34.4</c:v>
                </c:pt>
                <c:pt idx="157">
                  <c:v>34.6</c:v>
                </c:pt>
                <c:pt idx="158">
                  <c:v>34.799999999999997</c:v>
                </c:pt>
                <c:pt idx="159">
                  <c:v>35</c:v>
                </c:pt>
                <c:pt idx="160">
                  <c:v>35.9</c:v>
                </c:pt>
                <c:pt idx="161">
                  <c:v>36.200000000000003</c:v>
                </c:pt>
                <c:pt idx="162">
                  <c:v>36.4</c:v>
                </c:pt>
                <c:pt idx="163">
                  <c:v>36.5</c:v>
                </c:pt>
                <c:pt idx="164">
                  <c:v>37.5</c:v>
                </c:pt>
                <c:pt idx="165">
                  <c:v>37.700000000000003</c:v>
                </c:pt>
                <c:pt idx="166">
                  <c:v>37.9</c:v>
                </c:pt>
                <c:pt idx="167">
                  <c:v>38.1</c:v>
                </c:pt>
                <c:pt idx="168">
                  <c:v>39.200000000000003</c:v>
                </c:pt>
                <c:pt idx="169">
                  <c:v>39.4</c:v>
                </c:pt>
                <c:pt idx="170">
                  <c:v>39.700000000000003</c:v>
                </c:pt>
                <c:pt idx="171">
                  <c:v>39.799999999999997</c:v>
                </c:pt>
                <c:pt idx="172">
                  <c:v>41</c:v>
                </c:pt>
                <c:pt idx="173">
                  <c:v>41.3</c:v>
                </c:pt>
                <c:pt idx="174">
                  <c:v>41.4</c:v>
                </c:pt>
                <c:pt idx="175">
                  <c:v>41.6</c:v>
                </c:pt>
                <c:pt idx="176">
                  <c:v>42.6</c:v>
                </c:pt>
                <c:pt idx="177">
                  <c:v>42.9</c:v>
                </c:pt>
                <c:pt idx="178">
                  <c:v>43.1</c:v>
                </c:pt>
                <c:pt idx="179">
                  <c:v>43.3</c:v>
                </c:pt>
                <c:pt idx="180">
                  <c:v>44.5</c:v>
                </c:pt>
                <c:pt idx="181">
                  <c:v>44.7</c:v>
                </c:pt>
                <c:pt idx="182">
                  <c:v>44.9</c:v>
                </c:pt>
                <c:pt idx="183">
                  <c:v>45.1</c:v>
                </c:pt>
                <c:pt idx="184">
                  <c:v>46.3</c:v>
                </c:pt>
                <c:pt idx="185">
                  <c:v>46.6</c:v>
                </c:pt>
                <c:pt idx="186">
                  <c:v>46.9</c:v>
                </c:pt>
                <c:pt idx="187">
                  <c:v>47.1</c:v>
                </c:pt>
                <c:pt idx="188">
                  <c:v>48.3</c:v>
                </c:pt>
                <c:pt idx="189">
                  <c:v>48.5</c:v>
                </c:pt>
                <c:pt idx="190">
                  <c:v>48.7</c:v>
                </c:pt>
                <c:pt idx="191">
                  <c:v>49</c:v>
                </c:pt>
                <c:pt idx="192">
                  <c:v>50.2</c:v>
                </c:pt>
                <c:pt idx="193">
                  <c:v>50.6</c:v>
                </c:pt>
                <c:pt idx="194">
                  <c:v>51</c:v>
                </c:pt>
                <c:pt idx="195">
                  <c:v>51.6</c:v>
                </c:pt>
                <c:pt idx="196">
                  <c:v>52</c:v>
                </c:pt>
                <c:pt idx="197">
                  <c:v>52.6</c:v>
                </c:pt>
                <c:pt idx="198">
                  <c:v>52.9</c:v>
                </c:pt>
                <c:pt idx="199">
                  <c:v>53.2</c:v>
                </c:pt>
                <c:pt idx="200">
                  <c:v>54.6</c:v>
                </c:pt>
                <c:pt idx="201">
                  <c:v>54.9</c:v>
                </c:pt>
                <c:pt idx="202">
                  <c:v>55.2</c:v>
                </c:pt>
                <c:pt idx="203">
                  <c:v>55.3</c:v>
                </c:pt>
                <c:pt idx="204">
                  <c:v>56.7</c:v>
                </c:pt>
                <c:pt idx="205">
                  <c:v>56.8</c:v>
                </c:pt>
                <c:pt idx="206">
                  <c:v>57.3</c:v>
                </c:pt>
                <c:pt idx="207">
                  <c:v>57.6</c:v>
                </c:pt>
                <c:pt idx="208">
                  <c:v>59</c:v>
                </c:pt>
                <c:pt idx="209">
                  <c:v>59.2</c:v>
                </c:pt>
                <c:pt idx="210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ED-43C8-AB52-ED109AF0C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925583"/>
        <c:axId val="2081937583"/>
      </c:scatterChart>
      <c:valAx>
        <c:axId val="208192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1937583"/>
        <c:crosses val="autoZero"/>
        <c:crossBetween val="midCat"/>
      </c:valAx>
      <c:valAx>
        <c:axId val="208193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1925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21 ANOS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'DADOS BRUTOS'!$B$635:$B$845</c:f>
              <c:numCache>
                <c:formatCode>General</c:formatCode>
                <c:ptCount val="211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  <c:pt idx="14">
                  <c:v>54</c:v>
                </c:pt>
                <c:pt idx="15">
                  <c:v>55</c:v>
                </c:pt>
                <c:pt idx="16">
                  <c:v>56</c:v>
                </c:pt>
                <c:pt idx="17">
                  <c:v>57</c:v>
                </c:pt>
                <c:pt idx="18">
                  <c:v>58</c:v>
                </c:pt>
                <c:pt idx="19">
                  <c:v>59</c:v>
                </c:pt>
                <c:pt idx="20">
                  <c:v>60</c:v>
                </c:pt>
                <c:pt idx="21">
                  <c:v>61</c:v>
                </c:pt>
                <c:pt idx="22">
                  <c:v>62</c:v>
                </c:pt>
                <c:pt idx="23">
                  <c:v>63</c:v>
                </c:pt>
                <c:pt idx="24">
                  <c:v>64</c:v>
                </c:pt>
                <c:pt idx="25">
                  <c:v>65</c:v>
                </c:pt>
                <c:pt idx="26">
                  <c:v>66</c:v>
                </c:pt>
                <c:pt idx="27">
                  <c:v>67</c:v>
                </c:pt>
                <c:pt idx="28">
                  <c:v>68</c:v>
                </c:pt>
                <c:pt idx="29">
                  <c:v>69</c:v>
                </c:pt>
                <c:pt idx="30">
                  <c:v>70</c:v>
                </c:pt>
                <c:pt idx="31">
                  <c:v>71</c:v>
                </c:pt>
                <c:pt idx="32">
                  <c:v>72</c:v>
                </c:pt>
                <c:pt idx="33">
                  <c:v>73</c:v>
                </c:pt>
                <c:pt idx="34">
                  <c:v>74</c:v>
                </c:pt>
                <c:pt idx="35">
                  <c:v>75</c:v>
                </c:pt>
                <c:pt idx="36">
                  <c:v>76</c:v>
                </c:pt>
                <c:pt idx="37">
                  <c:v>77</c:v>
                </c:pt>
                <c:pt idx="38">
                  <c:v>78</c:v>
                </c:pt>
                <c:pt idx="39">
                  <c:v>79</c:v>
                </c:pt>
                <c:pt idx="40">
                  <c:v>80</c:v>
                </c:pt>
                <c:pt idx="41">
                  <c:v>81</c:v>
                </c:pt>
                <c:pt idx="42">
                  <c:v>82</c:v>
                </c:pt>
                <c:pt idx="43">
                  <c:v>83</c:v>
                </c:pt>
                <c:pt idx="44">
                  <c:v>84</c:v>
                </c:pt>
                <c:pt idx="45">
                  <c:v>85</c:v>
                </c:pt>
                <c:pt idx="46">
                  <c:v>86</c:v>
                </c:pt>
                <c:pt idx="47">
                  <c:v>87</c:v>
                </c:pt>
                <c:pt idx="48">
                  <c:v>88</c:v>
                </c:pt>
                <c:pt idx="49">
                  <c:v>89</c:v>
                </c:pt>
                <c:pt idx="50">
                  <c:v>90</c:v>
                </c:pt>
                <c:pt idx="51">
                  <c:v>91</c:v>
                </c:pt>
                <c:pt idx="52">
                  <c:v>92</c:v>
                </c:pt>
                <c:pt idx="53">
                  <c:v>93</c:v>
                </c:pt>
                <c:pt idx="54">
                  <c:v>94</c:v>
                </c:pt>
                <c:pt idx="55">
                  <c:v>95</c:v>
                </c:pt>
                <c:pt idx="56">
                  <c:v>96</c:v>
                </c:pt>
                <c:pt idx="57">
                  <c:v>97</c:v>
                </c:pt>
                <c:pt idx="58">
                  <c:v>98</c:v>
                </c:pt>
                <c:pt idx="59">
                  <c:v>99</c:v>
                </c:pt>
                <c:pt idx="60">
                  <c:v>100</c:v>
                </c:pt>
                <c:pt idx="61">
                  <c:v>101</c:v>
                </c:pt>
                <c:pt idx="62">
                  <c:v>102</c:v>
                </c:pt>
                <c:pt idx="63">
                  <c:v>103</c:v>
                </c:pt>
                <c:pt idx="64">
                  <c:v>104</c:v>
                </c:pt>
                <c:pt idx="65">
                  <c:v>105</c:v>
                </c:pt>
                <c:pt idx="66">
                  <c:v>106</c:v>
                </c:pt>
                <c:pt idx="67">
                  <c:v>107</c:v>
                </c:pt>
                <c:pt idx="68">
                  <c:v>108</c:v>
                </c:pt>
                <c:pt idx="69">
                  <c:v>109</c:v>
                </c:pt>
                <c:pt idx="70">
                  <c:v>110</c:v>
                </c:pt>
                <c:pt idx="71">
                  <c:v>111</c:v>
                </c:pt>
                <c:pt idx="72">
                  <c:v>112</c:v>
                </c:pt>
                <c:pt idx="73">
                  <c:v>113</c:v>
                </c:pt>
                <c:pt idx="74">
                  <c:v>114</c:v>
                </c:pt>
                <c:pt idx="75">
                  <c:v>115</c:v>
                </c:pt>
                <c:pt idx="76">
                  <c:v>116</c:v>
                </c:pt>
                <c:pt idx="77">
                  <c:v>117</c:v>
                </c:pt>
                <c:pt idx="78">
                  <c:v>118</c:v>
                </c:pt>
                <c:pt idx="79">
                  <c:v>119</c:v>
                </c:pt>
                <c:pt idx="80">
                  <c:v>120</c:v>
                </c:pt>
                <c:pt idx="81">
                  <c:v>121</c:v>
                </c:pt>
                <c:pt idx="82">
                  <c:v>122</c:v>
                </c:pt>
                <c:pt idx="83">
                  <c:v>123</c:v>
                </c:pt>
                <c:pt idx="84">
                  <c:v>124</c:v>
                </c:pt>
                <c:pt idx="85">
                  <c:v>125</c:v>
                </c:pt>
                <c:pt idx="86">
                  <c:v>126</c:v>
                </c:pt>
                <c:pt idx="87">
                  <c:v>127</c:v>
                </c:pt>
                <c:pt idx="88">
                  <c:v>128</c:v>
                </c:pt>
                <c:pt idx="89">
                  <c:v>129</c:v>
                </c:pt>
                <c:pt idx="90">
                  <c:v>130</c:v>
                </c:pt>
                <c:pt idx="91">
                  <c:v>131</c:v>
                </c:pt>
                <c:pt idx="92">
                  <c:v>132</c:v>
                </c:pt>
                <c:pt idx="93">
                  <c:v>133</c:v>
                </c:pt>
                <c:pt idx="94">
                  <c:v>134</c:v>
                </c:pt>
                <c:pt idx="95">
                  <c:v>135</c:v>
                </c:pt>
                <c:pt idx="96">
                  <c:v>136</c:v>
                </c:pt>
                <c:pt idx="97">
                  <c:v>137</c:v>
                </c:pt>
                <c:pt idx="98">
                  <c:v>138</c:v>
                </c:pt>
                <c:pt idx="99">
                  <c:v>139</c:v>
                </c:pt>
                <c:pt idx="100">
                  <c:v>140</c:v>
                </c:pt>
                <c:pt idx="101">
                  <c:v>141</c:v>
                </c:pt>
                <c:pt idx="102">
                  <c:v>142</c:v>
                </c:pt>
                <c:pt idx="103">
                  <c:v>143</c:v>
                </c:pt>
                <c:pt idx="104">
                  <c:v>144</c:v>
                </c:pt>
                <c:pt idx="105">
                  <c:v>145</c:v>
                </c:pt>
                <c:pt idx="106">
                  <c:v>146</c:v>
                </c:pt>
                <c:pt idx="107">
                  <c:v>147</c:v>
                </c:pt>
                <c:pt idx="108">
                  <c:v>148</c:v>
                </c:pt>
                <c:pt idx="109">
                  <c:v>149</c:v>
                </c:pt>
                <c:pt idx="110">
                  <c:v>150</c:v>
                </c:pt>
                <c:pt idx="111">
                  <c:v>151</c:v>
                </c:pt>
                <c:pt idx="112">
                  <c:v>152</c:v>
                </c:pt>
                <c:pt idx="113">
                  <c:v>153</c:v>
                </c:pt>
                <c:pt idx="114">
                  <c:v>154</c:v>
                </c:pt>
                <c:pt idx="115">
                  <c:v>155</c:v>
                </c:pt>
                <c:pt idx="116">
                  <c:v>156</c:v>
                </c:pt>
                <c:pt idx="117">
                  <c:v>157</c:v>
                </c:pt>
                <c:pt idx="118">
                  <c:v>158</c:v>
                </c:pt>
                <c:pt idx="119">
                  <c:v>159</c:v>
                </c:pt>
                <c:pt idx="120">
                  <c:v>160</c:v>
                </c:pt>
                <c:pt idx="121">
                  <c:v>161</c:v>
                </c:pt>
                <c:pt idx="122">
                  <c:v>162</c:v>
                </c:pt>
                <c:pt idx="123">
                  <c:v>163</c:v>
                </c:pt>
                <c:pt idx="124">
                  <c:v>164</c:v>
                </c:pt>
                <c:pt idx="125">
                  <c:v>165</c:v>
                </c:pt>
                <c:pt idx="126">
                  <c:v>166</c:v>
                </c:pt>
                <c:pt idx="127">
                  <c:v>167</c:v>
                </c:pt>
                <c:pt idx="128">
                  <c:v>168</c:v>
                </c:pt>
                <c:pt idx="129">
                  <c:v>169</c:v>
                </c:pt>
                <c:pt idx="130">
                  <c:v>170</c:v>
                </c:pt>
                <c:pt idx="131">
                  <c:v>171</c:v>
                </c:pt>
                <c:pt idx="132">
                  <c:v>172</c:v>
                </c:pt>
                <c:pt idx="133">
                  <c:v>173</c:v>
                </c:pt>
                <c:pt idx="134">
                  <c:v>174</c:v>
                </c:pt>
                <c:pt idx="135">
                  <c:v>175</c:v>
                </c:pt>
                <c:pt idx="136">
                  <c:v>176</c:v>
                </c:pt>
                <c:pt idx="137">
                  <c:v>177</c:v>
                </c:pt>
                <c:pt idx="138">
                  <c:v>178</c:v>
                </c:pt>
                <c:pt idx="139">
                  <c:v>179</c:v>
                </c:pt>
                <c:pt idx="140">
                  <c:v>180</c:v>
                </c:pt>
                <c:pt idx="141">
                  <c:v>181</c:v>
                </c:pt>
                <c:pt idx="142">
                  <c:v>182</c:v>
                </c:pt>
                <c:pt idx="143">
                  <c:v>183</c:v>
                </c:pt>
                <c:pt idx="144">
                  <c:v>184</c:v>
                </c:pt>
                <c:pt idx="145">
                  <c:v>185</c:v>
                </c:pt>
                <c:pt idx="146">
                  <c:v>186</c:v>
                </c:pt>
                <c:pt idx="147">
                  <c:v>187</c:v>
                </c:pt>
                <c:pt idx="148">
                  <c:v>188</c:v>
                </c:pt>
                <c:pt idx="149">
                  <c:v>189</c:v>
                </c:pt>
                <c:pt idx="150">
                  <c:v>190</c:v>
                </c:pt>
                <c:pt idx="151">
                  <c:v>191</c:v>
                </c:pt>
                <c:pt idx="152">
                  <c:v>192</c:v>
                </c:pt>
                <c:pt idx="153">
                  <c:v>193</c:v>
                </c:pt>
                <c:pt idx="154">
                  <c:v>194</c:v>
                </c:pt>
                <c:pt idx="155">
                  <c:v>195</c:v>
                </c:pt>
                <c:pt idx="156">
                  <c:v>196</c:v>
                </c:pt>
                <c:pt idx="157">
                  <c:v>197</c:v>
                </c:pt>
                <c:pt idx="158">
                  <c:v>198</c:v>
                </c:pt>
                <c:pt idx="159">
                  <c:v>199</c:v>
                </c:pt>
                <c:pt idx="160">
                  <c:v>200</c:v>
                </c:pt>
                <c:pt idx="161">
                  <c:v>201</c:v>
                </c:pt>
                <c:pt idx="162">
                  <c:v>202</c:v>
                </c:pt>
                <c:pt idx="163">
                  <c:v>203</c:v>
                </c:pt>
                <c:pt idx="164">
                  <c:v>204</c:v>
                </c:pt>
                <c:pt idx="165">
                  <c:v>205</c:v>
                </c:pt>
                <c:pt idx="166">
                  <c:v>206</c:v>
                </c:pt>
                <c:pt idx="167">
                  <c:v>207</c:v>
                </c:pt>
                <c:pt idx="168">
                  <c:v>208</c:v>
                </c:pt>
                <c:pt idx="169">
                  <c:v>209</c:v>
                </c:pt>
                <c:pt idx="170">
                  <c:v>210</c:v>
                </c:pt>
                <c:pt idx="171">
                  <c:v>211</c:v>
                </c:pt>
                <c:pt idx="172">
                  <c:v>212</c:v>
                </c:pt>
                <c:pt idx="173">
                  <c:v>213</c:v>
                </c:pt>
                <c:pt idx="174">
                  <c:v>214</c:v>
                </c:pt>
                <c:pt idx="175">
                  <c:v>215</c:v>
                </c:pt>
                <c:pt idx="176">
                  <c:v>216</c:v>
                </c:pt>
                <c:pt idx="177">
                  <c:v>217</c:v>
                </c:pt>
                <c:pt idx="178">
                  <c:v>218</c:v>
                </c:pt>
                <c:pt idx="179">
                  <c:v>219</c:v>
                </c:pt>
                <c:pt idx="180">
                  <c:v>220</c:v>
                </c:pt>
                <c:pt idx="181">
                  <c:v>221</c:v>
                </c:pt>
                <c:pt idx="182">
                  <c:v>222</c:v>
                </c:pt>
                <c:pt idx="183">
                  <c:v>223</c:v>
                </c:pt>
                <c:pt idx="184">
                  <c:v>224</c:v>
                </c:pt>
                <c:pt idx="185">
                  <c:v>225</c:v>
                </c:pt>
                <c:pt idx="186">
                  <c:v>226</c:v>
                </c:pt>
                <c:pt idx="187">
                  <c:v>227</c:v>
                </c:pt>
                <c:pt idx="188">
                  <c:v>228</c:v>
                </c:pt>
                <c:pt idx="189">
                  <c:v>229</c:v>
                </c:pt>
                <c:pt idx="190">
                  <c:v>230</c:v>
                </c:pt>
                <c:pt idx="191">
                  <c:v>231</c:v>
                </c:pt>
                <c:pt idx="192">
                  <c:v>232</c:v>
                </c:pt>
                <c:pt idx="193">
                  <c:v>233</c:v>
                </c:pt>
                <c:pt idx="194">
                  <c:v>234</c:v>
                </c:pt>
                <c:pt idx="195">
                  <c:v>235</c:v>
                </c:pt>
                <c:pt idx="196">
                  <c:v>236</c:v>
                </c:pt>
                <c:pt idx="197">
                  <c:v>237</c:v>
                </c:pt>
                <c:pt idx="198">
                  <c:v>238</c:v>
                </c:pt>
                <c:pt idx="199">
                  <c:v>239</c:v>
                </c:pt>
                <c:pt idx="200">
                  <c:v>240</c:v>
                </c:pt>
                <c:pt idx="201">
                  <c:v>241</c:v>
                </c:pt>
                <c:pt idx="202">
                  <c:v>242</c:v>
                </c:pt>
                <c:pt idx="203">
                  <c:v>243</c:v>
                </c:pt>
                <c:pt idx="204">
                  <c:v>244</c:v>
                </c:pt>
                <c:pt idx="205">
                  <c:v>245</c:v>
                </c:pt>
                <c:pt idx="206">
                  <c:v>246</c:v>
                </c:pt>
                <c:pt idx="207">
                  <c:v>247</c:v>
                </c:pt>
                <c:pt idx="208">
                  <c:v>248</c:v>
                </c:pt>
                <c:pt idx="209">
                  <c:v>249</c:v>
                </c:pt>
                <c:pt idx="210">
                  <c:v>250</c:v>
                </c:pt>
              </c:numCache>
            </c:numRef>
          </c:xVal>
          <c:yVal>
            <c:numRef>
              <c:f>'DADOS BRUTOS'!$C$635:$C$845</c:f>
              <c:numCache>
                <c:formatCode>0.00</c:formatCode>
                <c:ptCount val="211"/>
                <c:pt idx="0">
                  <c:v>1.9142199999999998</c:v>
                </c:pt>
                <c:pt idx="1">
                  <c:v>1.9159304347826085</c:v>
                </c:pt>
                <c:pt idx="2">
                  <c:v>1.9333448164146867</c:v>
                </c:pt>
                <c:pt idx="3">
                  <c:v>1.9565726980728049</c:v>
                </c:pt>
                <c:pt idx="4">
                  <c:v>2.0584636782786885</c:v>
                </c:pt>
                <c:pt idx="5">
                  <c:v>2.0776839430894309</c:v>
                </c:pt>
                <c:pt idx="6">
                  <c:v>2.5104737903225804</c:v>
                </c:pt>
                <c:pt idx="7">
                  <c:v>2.5361211940298509</c:v>
                </c:pt>
                <c:pt idx="8">
                  <c:v>2.6785508993494069</c:v>
                </c:pt>
                <c:pt idx="9">
                  <c:v>2.7112004716981133</c:v>
                </c:pt>
                <c:pt idx="10">
                  <c:v>2.7464228428602482</c:v>
                </c:pt>
                <c:pt idx="11">
                  <c:v>2.720554335986594</c:v>
                </c:pt>
                <c:pt idx="12">
                  <c:v>2.9226709246817539</c:v>
                </c:pt>
                <c:pt idx="13">
                  <c:v>2.9328855835240275</c:v>
                </c:pt>
                <c:pt idx="14">
                  <c:v>2.943240131823937</c:v>
                </c:pt>
                <c:pt idx="15">
                  <c:v>2.9657987696439592</c:v>
                </c:pt>
                <c:pt idx="16">
                  <c:v>3.1625123975409837</c:v>
                </c:pt>
                <c:pt idx="17">
                  <c:v>3.178579824415412</c:v>
                </c:pt>
                <c:pt idx="18">
                  <c:v>3.2129032258064516</c:v>
                </c:pt>
                <c:pt idx="19">
                  <c:v>3.2112780952380953</c:v>
                </c:pt>
                <c:pt idx="20">
                  <c:v>3.4145528846153845</c:v>
                </c:pt>
                <c:pt idx="21">
                  <c:v>3.4246153846153851</c:v>
                </c:pt>
                <c:pt idx="22">
                  <c:v>3.485235849056604</c:v>
                </c:pt>
                <c:pt idx="23">
                  <c:v>3.5195191538021731</c:v>
                </c:pt>
                <c:pt idx="24">
                  <c:v>3.7158478203781509</c:v>
                </c:pt>
                <c:pt idx="25">
                  <c:v>3.75595238095238</c:v>
                </c:pt>
                <c:pt idx="26">
                  <c:v>3.7655012531328316</c:v>
                </c:pt>
                <c:pt idx="27">
                  <c:v>3.8144185463659146</c:v>
                </c:pt>
                <c:pt idx="28">
                  <c:v>3.990012785388128</c:v>
                </c:pt>
                <c:pt idx="29">
                  <c:v>4.0180646322552054</c:v>
                </c:pt>
                <c:pt idx="30">
                  <c:v>4.0335912568306007</c:v>
                </c:pt>
                <c:pt idx="31">
                  <c:v>4.082513661202186</c:v>
                </c:pt>
                <c:pt idx="32">
                  <c:v>4.2458333333333336</c:v>
                </c:pt>
                <c:pt idx="33">
                  <c:v>4.3411489776046732</c:v>
                </c:pt>
                <c:pt idx="34">
                  <c:v>4.3138942307692307</c:v>
                </c:pt>
                <c:pt idx="35">
                  <c:v>4.3142803030303023</c:v>
                </c:pt>
                <c:pt idx="36">
                  <c:v>4.599858256555633</c:v>
                </c:pt>
                <c:pt idx="37">
                  <c:v>4.5724637681159415</c:v>
                </c:pt>
                <c:pt idx="38">
                  <c:v>4.6677731092436971</c:v>
                </c:pt>
                <c:pt idx="39">
                  <c:v>4.6677731092436971</c:v>
                </c:pt>
                <c:pt idx="40">
                  <c:v>4.9264275819609047</c:v>
                </c:pt>
                <c:pt idx="41">
                  <c:v>5.0501442453689647</c:v>
                </c:pt>
                <c:pt idx="42">
                  <c:v>5.0223333333333322</c:v>
                </c:pt>
                <c:pt idx="43">
                  <c:v>4.9944029304029298</c:v>
                </c:pt>
                <c:pt idx="44">
                  <c:v>5.2809601745771957</c:v>
                </c:pt>
                <c:pt idx="45">
                  <c:v>5.3766822118587605</c:v>
                </c:pt>
                <c:pt idx="46">
                  <c:v>5.3489583333333339</c:v>
                </c:pt>
                <c:pt idx="47">
                  <c:v>5.4441494845360818</c:v>
                </c:pt>
                <c:pt idx="48">
                  <c:v>5.6075421686746987</c:v>
                </c:pt>
                <c:pt idx="49">
                  <c:v>5.7032355021216414</c:v>
                </c:pt>
                <c:pt idx="50">
                  <c:v>5.7990196078431371</c:v>
                </c:pt>
                <c:pt idx="51">
                  <c:v>5.7707024557395767</c:v>
                </c:pt>
                <c:pt idx="52">
                  <c:v>6.0584428662285346</c:v>
                </c:pt>
                <c:pt idx="53">
                  <c:v>6.1539745878399668</c:v>
                </c:pt>
                <c:pt idx="54">
                  <c:v>6.2499999999999991</c:v>
                </c:pt>
                <c:pt idx="55">
                  <c:v>6.2213932856134697</c:v>
                </c:pt>
                <c:pt idx="56">
                  <c:v>6.4804180003765763</c:v>
                </c:pt>
                <c:pt idx="57">
                  <c:v>6.5764035087719304</c:v>
                </c:pt>
                <c:pt idx="58">
                  <c:v>6.672463768115942</c:v>
                </c:pt>
                <c:pt idx="59">
                  <c:v>6.6437966583718451</c:v>
                </c:pt>
                <c:pt idx="60">
                  <c:v>6.9028333333333345</c:v>
                </c:pt>
                <c:pt idx="61">
                  <c:v>6.9988544308976355</c:v>
                </c:pt>
                <c:pt idx="62">
                  <c:v>7.0949453551912569</c:v>
                </c:pt>
                <c:pt idx="63">
                  <c:v>7.0662246428289528</c:v>
                </c:pt>
                <c:pt idx="64">
                  <c:v>7.4504939830634394</c:v>
                </c:pt>
                <c:pt idx="65">
                  <c:v>7.4213237441588786</c:v>
                </c:pt>
                <c:pt idx="66">
                  <c:v>7.546875</c:v>
                </c:pt>
                <c:pt idx="67">
                  <c:v>7.6431974966218617</c:v>
                </c:pt>
                <c:pt idx="68">
                  <c:v>7.8731673490952314</c:v>
                </c:pt>
                <c:pt idx="69">
                  <c:v>7.9694444444444432</c:v>
                </c:pt>
                <c:pt idx="70">
                  <c:v>8.0657800511508952</c:v>
                </c:pt>
                <c:pt idx="71">
                  <c:v>8.162172791341554</c:v>
                </c:pt>
                <c:pt idx="72">
                  <c:v>8.3920187793427239</c:v>
                </c:pt>
                <c:pt idx="73">
                  <c:v>8.4883661792752694</c:v>
                </c:pt>
                <c:pt idx="74">
                  <c:v>8.5847677595628404</c:v>
                </c:pt>
                <c:pt idx="75">
                  <c:v>8.6812223156714339</c:v>
                </c:pt>
                <c:pt idx="76">
                  <c:v>8.9109553805774269</c:v>
                </c:pt>
                <c:pt idx="77">
                  <c:v>9.0073649627483423</c:v>
                </c:pt>
                <c:pt idx="78">
                  <c:v>9.1036184210526319</c:v>
                </c:pt>
                <c:pt idx="79">
                  <c:v>9.2001367989056089</c:v>
                </c:pt>
                <c:pt idx="80">
                  <c:v>9.5563243907047042</c:v>
                </c:pt>
                <c:pt idx="81">
                  <c:v>9.6529559748427687</c:v>
                </c:pt>
                <c:pt idx="82">
                  <c:v>9.7496323529411768</c:v>
                </c:pt>
                <c:pt idx="83">
                  <c:v>9.8463526318175614</c:v>
                </c:pt>
                <c:pt idx="84">
                  <c:v>10.172218942396896</c:v>
                </c:pt>
                <c:pt idx="85">
                  <c:v>10.268933150183148</c:v>
                </c:pt>
                <c:pt idx="86">
                  <c:v>10.365688691650229</c:v>
                </c:pt>
                <c:pt idx="87">
                  <c:v>10.462484787018257</c:v>
                </c:pt>
                <c:pt idx="88">
                  <c:v>10.78826515151515</c:v>
                </c:pt>
                <c:pt idx="89">
                  <c:v>10.885052568563626</c:v>
                </c:pt>
                <c:pt idx="90">
                  <c:v>10.85464222353637</c:v>
                </c:pt>
                <c:pt idx="91">
                  <c:v>10.95136378573776</c:v>
                </c:pt>
                <c:pt idx="92">
                  <c:v>11.404440643174821</c:v>
                </c:pt>
                <c:pt idx="93">
                  <c:v>11.501293365794279</c:v>
                </c:pt>
                <c:pt idx="94">
                  <c:v>11.598181818181818</c:v>
                </c:pt>
                <c:pt idx="95">
                  <c:v>11.664067172762824</c:v>
                </c:pt>
                <c:pt idx="96">
                  <c:v>12.117638569015813</c:v>
                </c:pt>
                <c:pt idx="97">
                  <c:v>12.214583333333334</c:v>
                </c:pt>
                <c:pt idx="98">
                  <c:v>12.280365788058097</c:v>
                </c:pt>
                <c:pt idx="99">
                  <c:v>12.377290866095182</c:v>
                </c:pt>
                <c:pt idx="100">
                  <c:v>12.831069844789358</c:v>
                </c:pt>
                <c:pt idx="101">
                  <c:v>12.928096374307499</c:v>
                </c:pt>
                <c:pt idx="102">
                  <c:v>13.02515334093253</c:v>
                </c:pt>
                <c:pt idx="103">
                  <c:v>13.090740691240546</c:v>
                </c:pt>
                <c:pt idx="104">
                  <c:v>13.513230730730731</c:v>
                </c:pt>
                <c:pt idx="105">
                  <c:v>13.610253456221198</c:v>
                </c:pt>
                <c:pt idx="106">
                  <c:v>13.707305107197174</c:v>
                </c:pt>
                <c:pt idx="107">
                  <c:v>13.836535847774382</c:v>
                </c:pt>
                <c:pt idx="108">
                  <c:v>14.355671658724756</c:v>
                </c:pt>
                <c:pt idx="109">
                  <c:v>14.421052631578949</c:v>
                </c:pt>
                <c:pt idx="110">
                  <c:v>14.486721563460693</c:v>
                </c:pt>
                <c:pt idx="111">
                  <c:v>14.583817355174139</c:v>
                </c:pt>
                <c:pt idx="112">
                  <c:v>15.134953883992623</c:v>
                </c:pt>
                <c:pt idx="113">
                  <c:v>15.23215968639558</c:v>
                </c:pt>
                <c:pt idx="114">
                  <c:v>15.29753843686732</c:v>
                </c:pt>
                <c:pt idx="115">
                  <c:v>15.363047630299089</c:v>
                </c:pt>
                <c:pt idx="116">
                  <c:v>15.914453703703703</c:v>
                </c:pt>
                <c:pt idx="117">
                  <c:v>16.011667615253273</c:v>
                </c:pt>
                <c:pt idx="118">
                  <c:v>16.07693458316713</c:v>
                </c:pt>
                <c:pt idx="119">
                  <c:v>16.303314097724087</c:v>
                </c:pt>
                <c:pt idx="120">
                  <c:v>16.855139355101208</c:v>
                </c:pt>
                <c:pt idx="121">
                  <c:v>16.920378894003068</c:v>
                </c:pt>
                <c:pt idx="122">
                  <c:v>17.147608695652174</c:v>
                </c:pt>
                <c:pt idx="123">
                  <c:v>17.21243449532923</c:v>
                </c:pt>
                <c:pt idx="124">
                  <c:v>17.732066184137889</c:v>
                </c:pt>
                <c:pt idx="125">
                  <c:v>17.797027166333152</c:v>
                </c:pt>
                <c:pt idx="126">
                  <c:v>17.862316039284753</c:v>
                </c:pt>
                <c:pt idx="127">
                  <c:v>18.056967225161667</c:v>
                </c:pt>
                <c:pt idx="128">
                  <c:v>18.771759440559443</c:v>
                </c:pt>
                <c:pt idx="129">
                  <c:v>18.803635285846234</c:v>
                </c:pt>
                <c:pt idx="130">
                  <c:v>18.868727164065579</c:v>
                </c:pt>
                <c:pt idx="131">
                  <c:v>18.933633199860253</c:v>
                </c:pt>
                <c:pt idx="132">
                  <c:v>19.583013199933809</c:v>
                </c:pt>
                <c:pt idx="133">
                  <c:v>19.7779392387908</c:v>
                </c:pt>
                <c:pt idx="134">
                  <c:v>20.005781499202552</c:v>
                </c:pt>
                <c:pt idx="135">
                  <c:v>20.070459236326112</c:v>
                </c:pt>
                <c:pt idx="136">
                  <c:v>20.687607461476073</c:v>
                </c:pt>
                <c:pt idx="137">
                  <c:v>20.752423650162299</c:v>
                </c:pt>
                <c:pt idx="138">
                  <c:v>20.947476940078037</c:v>
                </c:pt>
                <c:pt idx="139">
                  <c:v>21.175714285714285</c:v>
                </c:pt>
                <c:pt idx="140">
                  <c:v>21.792834824749718</c:v>
                </c:pt>
                <c:pt idx="141">
                  <c:v>21.857379859710015</c:v>
                </c:pt>
                <c:pt idx="142">
                  <c:v>22.085911170455017</c:v>
                </c:pt>
                <c:pt idx="143">
                  <c:v>22.117317508023021</c:v>
                </c:pt>
                <c:pt idx="144">
                  <c:v>22.73453073089701</c:v>
                </c:pt>
                <c:pt idx="145">
                  <c:v>22.929777847726967</c:v>
                </c:pt>
                <c:pt idx="146">
                  <c:v>22.994192377495462</c:v>
                </c:pt>
                <c:pt idx="147">
                  <c:v>23.189437908496735</c:v>
                </c:pt>
                <c:pt idx="148">
                  <c:v>23.937716761727902</c:v>
                </c:pt>
                <c:pt idx="149">
                  <c:v>24.099672342576294</c:v>
                </c:pt>
                <c:pt idx="150">
                  <c:v>24.295073030417861</c:v>
                </c:pt>
                <c:pt idx="151">
                  <c:v>24.523972602739725</c:v>
                </c:pt>
                <c:pt idx="152">
                  <c:v>24.976869706180349</c:v>
                </c:pt>
                <c:pt idx="153">
                  <c:v>25.303335283322781</c:v>
                </c:pt>
                <c:pt idx="154">
                  <c:v>25.498809088597135</c:v>
                </c:pt>
                <c:pt idx="155">
                  <c:v>25.694517177890077</c:v>
                </c:pt>
                <c:pt idx="156">
                  <c:v>26.375892857142855</c:v>
                </c:pt>
                <c:pt idx="157">
                  <c:v>26.571511252604093</c:v>
                </c:pt>
                <c:pt idx="158">
                  <c:v>26.602090390572975</c:v>
                </c:pt>
                <c:pt idx="159">
                  <c:v>26.831345297918165</c:v>
                </c:pt>
                <c:pt idx="160">
                  <c:v>27.610491541544942</c:v>
                </c:pt>
                <c:pt idx="161">
                  <c:v>27.772432210078527</c:v>
                </c:pt>
                <c:pt idx="162">
                  <c:v>28.00183083824388</c:v>
                </c:pt>
                <c:pt idx="163">
                  <c:v>28.065858798735512</c:v>
                </c:pt>
                <c:pt idx="164">
                  <c:v>28.912767136150233</c:v>
                </c:pt>
                <c:pt idx="165">
                  <c:v>29.074575998713932</c:v>
                </c:pt>
                <c:pt idx="166">
                  <c:v>29.138640579373003</c:v>
                </c:pt>
                <c:pt idx="167">
                  <c:v>29.466142944603057</c:v>
                </c:pt>
                <c:pt idx="168">
                  <c:v>30.245338225177711</c:v>
                </c:pt>
                <c:pt idx="169">
                  <c:v>30.441155361746105</c:v>
                </c:pt>
                <c:pt idx="170">
                  <c:v>30.637248180956277</c:v>
                </c:pt>
                <c:pt idx="171">
                  <c:v>30.832906216225247</c:v>
                </c:pt>
                <c:pt idx="172">
                  <c:v>31.612443502080808</c:v>
                </c:pt>
                <c:pt idx="173">
                  <c:v>31.906307350175108</c:v>
                </c:pt>
                <c:pt idx="174">
                  <c:v>32.067604008940805</c:v>
                </c:pt>
                <c:pt idx="175">
                  <c:v>32.131516158337412</c:v>
                </c:pt>
                <c:pt idx="176">
                  <c:v>33.042548770886185</c:v>
                </c:pt>
                <c:pt idx="177">
                  <c:v>33.238656669790693</c:v>
                </c:pt>
                <c:pt idx="178">
                  <c:v>33.434633653649172</c:v>
                </c:pt>
                <c:pt idx="179">
                  <c:v>33.596219776594246</c:v>
                </c:pt>
                <c:pt idx="180">
                  <c:v>34.640119969559969</c:v>
                </c:pt>
                <c:pt idx="181">
                  <c:v>34.767170243432275</c:v>
                </c:pt>
                <c:pt idx="182">
                  <c:v>35.026897899471599</c:v>
                </c:pt>
                <c:pt idx="183">
                  <c:v>34.954636122999702</c:v>
                </c:pt>
                <c:pt idx="184">
                  <c:v>36.406232347566039</c:v>
                </c:pt>
                <c:pt idx="185">
                  <c:v>36.595881541800615</c:v>
                </c:pt>
                <c:pt idx="186">
                  <c:v>36.62466858255307</c:v>
                </c:pt>
                <c:pt idx="187">
                  <c:v>36.78616285937774</c:v>
                </c:pt>
                <c:pt idx="188">
                  <c:v>37.628643096034402</c:v>
                </c:pt>
                <c:pt idx="189">
                  <c:v>37.922752520984737</c:v>
                </c:pt>
                <c:pt idx="190">
                  <c:v>38.084380672856597</c:v>
                </c:pt>
                <c:pt idx="191">
                  <c:v>38.315074916042363</c:v>
                </c:pt>
                <c:pt idx="192">
                  <c:v>39.422900110317109</c:v>
                </c:pt>
                <c:pt idx="193">
                  <c:v>39.654359655959475</c:v>
                </c:pt>
                <c:pt idx="194">
                  <c:v>39.746479314238783</c:v>
                </c:pt>
                <c:pt idx="195">
                  <c:v>39.910440891472867</c:v>
                </c:pt>
                <c:pt idx="196">
                  <c:v>41.015793676662312</c:v>
                </c:pt>
                <c:pt idx="197">
                  <c:v>41.344570188058782</c:v>
                </c:pt>
                <c:pt idx="198">
                  <c:v>41.639088179695314</c:v>
                </c:pt>
                <c:pt idx="199">
                  <c:v>41.800554165514122</c:v>
                </c:pt>
                <c:pt idx="200">
                  <c:v>42.909049773755655</c:v>
                </c:pt>
                <c:pt idx="201">
                  <c:v>43.070602869963125</c:v>
                </c:pt>
                <c:pt idx="202">
                  <c:v>43.232213838469121</c:v>
                </c:pt>
                <c:pt idx="203">
                  <c:v>43.561280114332376</c:v>
                </c:pt>
                <c:pt idx="204">
                  <c:v>44.599461748361122</c:v>
                </c:pt>
                <c:pt idx="205">
                  <c:v>44.992130281690144</c:v>
                </c:pt>
                <c:pt idx="206">
                  <c:v>45.420285311815526</c:v>
                </c:pt>
                <c:pt idx="207">
                  <c:v>46.152500000000003</c:v>
                </c:pt>
                <c:pt idx="208">
                  <c:v>46.157678479712374</c:v>
                </c:pt>
                <c:pt idx="209">
                  <c:v>46.851464983082629</c:v>
                </c:pt>
                <c:pt idx="210">
                  <c:v>47.005229524645678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D1-42A5-83BE-215D5D71D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555215"/>
        <c:axId val="1989549455"/>
      </c:scatterChart>
      <c:valAx>
        <c:axId val="198955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9549455"/>
        <c:crosses val="autoZero"/>
        <c:crossBetween val="midCat"/>
      </c:valAx>
      <c:valAx>
        <c:axId val="198954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9555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600075</xdr:colOff>
      <xdr:row>19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065F49-C739-485D-8202-FE7FE439C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11</xdr:col>
      <xdr:colOff>590550</xdr:colOff>
      <xdr:row>19</xdr:row>
      <xdr:rowOff>171450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B480A7D-5B93-4C4D-9BBA-34D132E40B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5</xdr:col>
      <xdr:colOff>581024</xdr:colOff>
      <xdr:row>32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35BD15F-515A-480D-A7E2-AB7852629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A1563F0-088A-482B-A2F6-34F554A86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81c2f77865211bf/Desktop/Planilha%20de%20Leil&#227;o%20(1)1.xlsx" TargetMode="External"/><Relationship Id="rId1" Type="http://schemas.openxmlformats.org/officeDocument/2006/relationships/externalLinkPath" Target="Planilha%20de%20Leil&#227;o%20(1)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_e_lvl3"/>
      <sheetName val="e_e_lvl4"/>
      <sheetName val="trem3"/>
      <sheetName val="sprocket4"/>
      <sheetName val="18 anos"/>
      <sheetName val="19 anos"/>
      <sheetName val="20 anos"/>
      <sheetName val="Leilã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0">
          <cell r="V10">
            <v>2.6659999999999999</v>
          </cell>
        </row>
        <row r="11">
          <cell r="V11">
            <v>1.1204000000000001</v>
          </cell>
        </row>
        <row r="12">
          <cell r="V12">
            <v>6.7015000000000002</v>
          </cell>
        </row>
        <row r="13">
          <cell r="V13">
            <v>1.3991</v>
          </cell>
        </row>
      </sheetData>
      <sheetData sheetId="5">
        <row r="13">
          <cell r="Y13">
            <v>2.5238999999999998</v>
          </cell>
        </row>
        <row r="14">
          <cell r="Y14">
            <v>0.84509999999999996</v>
          </cell>
        </row>
        <row r="15">
          <cell r="Y15">
            <v>5.5620000000000003</v>
          </cell>
        </row>
        <row r="16">
          <cell r="Y16">
            <v>1.0013000000000001</v>
          </cell>
        </row>
      </sheetData>
      <sheetData sheetId="6">
        <row r="12">
          <cell r="X12">
            <v>2.4771000000000001</v>
          </cell>
        </row>
        <row r="13">
          <cell r="X13">
            <v>0.17730000000000001</v>
          </cell>
        </row>
        <row r="14">
          <cell r="X14">
            <v>5.0877999999999997</v>
          </cell>
        </row>
        <row r="15">
          <cell r="X15">
            <v>0.52070000000000005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ADF7-2D1A-4DE9-BB7B-45017BBF667B}">
  <dimension ref="A1:P856"/>
  <sheetViews>
    <sheetView tabSelected="1" workbookViewId="0">
      <selection activeCell="A846" sqref="A846:XFD1048576"/>
    </sheetView>
  </sheetViews>
  <sheetFormatPr defaultColWidth="0" defaultRowHeight="15" zeroHeight="1" x14ac:dyDescent="0.25"/>
  <cols>
    <col min="1" max="1" width="6" bestFit="1" customWidth="1"/>
    <col min="2" max="2" width="5.28515625" bestFit="1" customWidth="1"/>
    <col min="3" max="4" width="19.140625" bestFit="1" customWidth="1"/>
    <col min="5" max="5" width="8.85546875" hidden="1"/>
    <col min="6" max="6" width="8.140625" hidden="1"/>
    <col min="7" max="7" width="12.42578125" hidden="1"/>
    <col min="8" max="8" width="9.5703125" hidden="1"/>
    <col min="9" max="9" width="8.85546875" hidden="1"/>
    <col min="10" max="10" width="8.140625" hidden="1"/>
    <col min="11" max="11" width="10" hidden="1"/>
    <col min="12" max="12" width="9.5703125" hidden="1"/>
    <col min="13" max="13" width="8.85546875" hidden="1"/>
    <col min="14" max="14" width="8.140625" hidden="1"/>
    <col min="15" max="15" width="10" hidden="1"/>
    <col min="16" max="16" width="9.5703125" hidden="1"/>
    <col min="17" max="16384" width="9.140625" hidden="1"/>
  </cols>
  <sheetData>
    <row r="1" spans="1:4" ht="15.75" x14ac:dyDescent="0.25">
      <c r="A1" s="18" t="s">
        <v>0</v>
      </c>
      <c r="B1" s="18" t="s">
        <v>1</v>
      </c>
      <c r="C1" s="18" t="s">
        <v>16</v>
      </c>
      <c r="D1" s="19" t="s">
        <v>17</v>
      </c>
    </row>
    <row r="2" spans="1:4" ht="15.75" x14ac:dyDescent="0.25">
      <c r="A2" s="20">
        <v>18</v>
      </c>
      <c r="B2" s="1">
        <v>40</v>
      </c>
      <c r="C2" s="1">
        <v>4.5</v>
      </c>
      <c r="D2" s="3">
        <f>B2^4*CURVAS!$B$3+B2^3*CURVAS!$C$3+B2^2*CURVAS!$D$3+B2^1*CURVAS!$E$3+B2^0*CURVAS!$F$3</f>
        <v>4.5197799999999999</v>
      </c>
    </row>
    <row r="3" spans="1:4" ht="15.75" x14ac:dyDescent="0.25">
      <c r="A3" s="20">
        <v>18</v>
      </c>
      <c r="B3" s="1">
        <v>41</v>
      </c>
      <c r="C3" s="1">
        <v>4.5999999999999996</v>
      </c>
      <c r="D3" s="3">
        <f>B3^4*CURVAS!$B$3+B3^3*CURVAS!$C$3+B3^2*CURVAS!$D$3+B3^1*CURVAS!$E$3+B3^0*CURVAS!$F$3</f>
        <v>4.6008140829999995</v>
      </c>
    </row>
    <row r="4" spans="1:4" ht="15.75" x14ac:dyDescent="0.25">
      <c r="A4" s="20">
        <v>18</v>
      </c>
      <c r="B4" s="1">
        <v>42</v>
      </c>
      <c r="C4" s="1">
        <v>4.63</v>
      </c>
      <c r="D4" s="3">
        <f>B4^4*CURVAS!$B$3+B4^3*CURVAS!$C$3+B4^2*CURVAS!$D$3+B4^1*CURVAS!$E$3+B4^0*CURVAS!$F$3</f>
        <v>4.6831054879999998</v>
      </c>
    </row>
    <row r="5" spans="1:4" ht="15.75" x14ac:dyDescent="0.25">
      <c r="A5" s="20">
        <v>18</v>
      </c>
      <c r="B5" s="1">
        <v>43</v>
      </c>
      <c r="C5" s="1">
        <v>4.67</v>
      </c>
      <c r="D5" s="3">
        <f>B5^4*CURVAS!$B$3+B5^3*CURVAS!$C$3+B5^2*CURVAS!$D$3+B5^1*CURVAS!$E$3+B5^0*CURVAS!$F$3</f>
        <v>4.7666620030000004</v>
      </c>
    </row>
    <row r="6" spans="1:4" ht="15.75" x14ac:dyDescent="0.25">
      <c r="A6" s="20">
        <v>18</v>
      </c>
      <c r="B6" s="1">
        <v>44</v>
      </c>
      <c r="C6" s="1">
        <v>4.88</v>
      </c>
      <c r="D6" s="3">
        <f>B6^4*CURVAS!$B$3+B6^3*CURVAS!$C$3+B6^2*CURVAS!$D$3+B6^1*CURVAS!$E$3+B6^0*CURVAS!$F$3</f>
        <v>4.8514914879999997</v>
      </c>
    </row>
    <row r="7" spans="1:4" ht="15.75" x14ac:dyDescent="0.25">
      <c r="A7" s="20">
        <v>18</v>
      </c>
      <c r="B7" s="1">
        <v>45</v>
      </c>
      <c r="C7" s="1">
        <v>4.92</v>
      </c>
      <c r="D7" s="3">
        <f>B7^4*CURVAS!$B$3+B7^3*CURVAS!$C$3+B7^2*CURVAS!$D$3+B7^1*CURVAS!$E$3+B7^0*CURVAS!$F$3</f>
        <v>4.9376018750000004</v>
      </c>
    </row>
    <row r="8" spans="1:4" ht="15.75" x14ac:dyDescent="0.25">
      <c r="A8" s="20">
        <v>18</v>
      </c>
      <c r="B8" s="1">
        <v>46</v>
      </c>
      <c r="C8" s="1">
        <v>4.96</v>
      </c>
      <c r="D8" s="3">
        <f>B8^4*CURVAS!$B$3+B8^3*CURVAS!$C$3+B8^2*CURVAS!$D$3+B8^1*CURVAS!$E$3+B8^0*CURVAS!$F$3</f>
        <v>5.0250011679999993</v>
      </c>
    </row>
    <row r="9" spans="1:4" ht="15.75" x14ac:dyDescent="0.25">
      <c r="A9" s="20">
        <v>18</v>
      </c>
      <c r="B9" s="1">
        <v>47</v>
      </c>
      <c r="C9" s="1">
        <v>5</v>
      </c>
      <c r="D9" s="3">
        <f>B9^4*CURVAS!$B$3+B9^3*CURVAS!$C$3+B9^2*CURVAS!$D$3+B9^1*CURVAS!$E$3+B9^0*CURVAS!$F$3</f>
        <v>5.1136974429999995</v>
      </c>
    </row>
    <row r="10" spans="1:4" ht="15.75" x14ac:dyDescent="0.25">
      <c r="A10" s="20">
        <v>18</v>
      </c>
      <c r="B10" s="1">
        <v>48</v>
      </c>
      <c r="C10" s="1">
        <v>5.2</v>
      </c>
      <c r="D10" s="3">
        <f>B10^4*CURVAS!$B$3+B10^3*CURVAS!$C$3+B10^2*CURVAS!$D$3+B10^1*CURVAS!$E$3+B10^0*CURVAS!$F$3</f>
        <v>5.2036988480000002</v>
      </c>
    </row>
    <row r="11" spans="1:4" ht="15.75" x14ac:dyDescent="0.25">
      <c r="A11" s="20">
        <v>18</v>
      </c>
      <c r="B11" s="1">
        <v>49</v>
      </c>
      <c r="C11" s="1">
        <v>5.3</v>
      </c>
      <c r="D11" s="3">
        <f>B11^4*CURVAS!$B$3+B11^3*CURVAS!$C$3+B11^2*CURVAS!$D$3+B11^1*CURVAS!$E$3+B11^0*CURVAS!$F$3</f>
        <v>5.2950136029999992</v>
      </c>
    </row>
    <row r="12" spans="1:4" ht="15.75" x14ac:dyDescent="0.25">
      <c r="A12" s="20">
        <v>18</v>
      </c>
      <c r="B12" s="1">
        <v>50</v>
      </c>
      <c r="C12" s="1">
        <v>5.35</v>
      </c>
      <c r="D12" s="3">
        <f>B12^4*CURVAS!$B$3+B12^3*CURVAS!$C$3+B12^2*CURVAS!$D$3+B12^1*CURVAS!$E$3+B12^0*CURVAS!$F$3</f>
        <v>5.3876499999999998</v>
      </c>
    </row>
    <row r="13" spans="1:4" ht="15.75" x14ac:dyDescent="0.25">
      <c r="A13" s="20">
        <v>18</v>
      </c>
      <c r="B13" s="1">
        <v>51</v>
      </c>
      <c r="C13" s="1">
        <v>5.5</v>
      </c>
      <c r="D13" s="3">
        <f>B13^4*CURVAS!$B$3+B13^3*CURVAS!$C$3+B13^2*CURVAS!$D$3+B13^1*CURVAS!$E$3+B13^0*CURVAS!$F$3</f>
        <v>5.4816164030000003</v>
      </c>
    </row>
    <row r="14" spans="1:4" ht="15.75" x14ac:dyDescent="0.25">
      <c r="A14" s="20">
        <v>18</v>
      </c>
      <c r="B14" s="1">
        <v>52</v>
      </c>
      <c r="C14" s="1">
        <v>5.6</v>
      </c>
      <c r="D14" s="3">
        <f>B14^4*CURVAS!$B$3+B14^3*CURVAS!$C$3+B14^2*CURVAS!$D$3+B14^1*CURVAS!$E$3+B14^0*CURVAS!$F$3</f>
        <v>5.5769212479999997</v>
      </c>
    </row>
    <row r="15" spans="1:4" ht="15.75" x14ac:dyDescent="0.25">
      <c r="A15" s="20">
        <v>18</v>
      </c>
      <c r="B15" s="1">
        <v>53</v>
      </c>
      <c r="C15" s="1">
        <v>5.7</v>
      </c>
      <c r="D15" s="3">
        <f>B15^4*CURVAS!$B$3+B15^3*CURVAS!$C$3+B15^2*CURVAS!$D$3+B15^1*CURVAS!$E$3+B15^0*CURVAS!$F$3</f>
        <v>5.6735730429999993</v>
      </c>
    </row>
    <row r="16" spans="1:4" ht="15.75" x14ac:dyDescent="0.25">
      <c r="A16" s="20">
        <v>18</v>
      </c>
      <c r="B16" s="1">
        <v>54</v>
      </c>
      <c r="C16" s="1">
        <v>5.8</v>
      </c>
      <c r="D16" s="3">
        <f>B16^4*CURVAS!$B$3+B16^3*CURVAS!$C$3+B16^2*CURVAS!$D$3+B16^1*CURVAS!$E$3+B16^0*CURVAS!$F$3</f>
        <v>5.7715803680000004</v>
      </c>
    </row>
    <row r="17" spans="1:4" ht="15.75" x14ac:dyDescent="0.25">
      <c r="A17" s="20">
        <v>18</v>
      </c>
      <c r="B17" s="1">
        <v>55</v>
      </c>
      <c r="C17" s="1">
        <v>5.9</v>
      </c>
      <c r="D17" s="3">
        <f>B17^4*CURVAS!$B$3+B17^3*CURVAS!$C$3+B17^2*CURVAS!$D$3+B17^1*CURVAS!$E$3+B17^0*CURVAS!$F$3</f>
        <v>5.8709518749999994</v>
      </c>
    </row>
    <row r="18" spans="1:4" ht="15.75" x14ac:dyDescent="0.25">
      <c r="A18" s="20">
        <v>18</v>
      </c>
      <c r="B18" s="1">
        <v>56</v>
      </c>
      <c r="C18" s="1">
        <v>6</v>
      </c>
      <c r="D18" s="3">
        <f>B18^4*CURVAS!$B$3+B18^3*CURVAS!$C$3+B18^2*CURVAS!$D$3+B18^1*CURVAS!$E$3+B18^0*CURVAS!$F$3</f>
        <v>5.9716962880000004</v>
      </c>
    </row>
    <row r="19" spans="1:4" ht="15.75" x14ac:dyDescent="0.25">
      <c r="A19" s="20">
        <v>18</v>
      </c>
      <c r="B19" s="1">
        <v>57</v>
      </c>
      <c r="C19" s="1">
        <v>6.1</v>
      </c>
      <c r="D19" s="3">
        <f>B19^4*CURVAS!$B$3+B19^3*CURVAS!$C$3+B19^2*CURVAS!$D$3+B19^1*CURVAS!$E$3+B19^0*CURVAS!$F$3</f>
        <v>6.0738224029999994</v>
      </c>
    </row>
    <row r="20" spans="1:4" ht="15.75" x14ac:dyDescent="0.25">
      <c r="A20" s="20">
        <v>18</v>
      </c>
      <c r="B20" s="1">
        <v>58</v>
      </c>
      <c r="C20" s="1">
        <v>6.2</v>
      </c>
      <c r="D20" s="3">
        <f>B20^4*CURVAS!$B$3+B20^3*CURVAS!$C$3+B20^2*CURVAS!$D$3+B20^1*CURVAS!$E$3+B20^0*CURVAS!$F$3</f>
        <v>6.1773390880000001</v>
      </c>
    </row>
    <row r="21" spans="1:4" ht="15.75" x14ac:dyDescent="0.25">
      <c r="A21" s="20">
        <v>18</v>
      </c>
      <c r="B21" s="1">
        <v>59</v>
      </c>
      <c r="C21" s="1">
        <v>6.3</v>
      </c>
      <c r="D21" s="3">
        <f>B21^4*CURVAS!$B$3+B21^3*CURVAS!$C$3+B21^2*CURVAS!$D$3+B21^1*CURVAS!$E$3+B21^0*CURVAS!$F$3</f>
        <v>6.2822552829999996</v>
      </c>
    </row>
    <row r="22" spans="1:4" ht="15.75" x14ac:dyDescent="0.25">
      <c r="A22" s="20">
        <v>18</v>
      </c>
      <c r="B22" s="1">
        <v>60</v>
      </c>
      <c r="C22" s="1">
        <v>6.4</v>
      </c>
      <c r="D22" s="3">
        <f>B22^4*CURVAS!$B$3+B22^3*CURVAS!$C$3+B22^2*CURVAS!$D$3+B22^1*CURVAS!$E$3+B22^0*CURVAS!$F$3</f>
        <v>6.3885799999999993</v>
      </c>
    </row>
    <row r="23" spans="1:4" ht="15.75" x14ac:dyDescent="0.25">
      <c r="A23" s="20">
        <v>18</v>
      </c>
      <c r="B23" s="1">
        <v>61</v>
      </c>
      <c r="C23" s="1">
        <v>6.5</v>
      </c>
      <c r="D23" s="3">
        <f>B23^4*CURVAS!$B$3+B23^3*CURVAS!$C$3+B23^2*CURVAS!$D$3+B23^1*CURVAS!$E$3+B23^0*CURVAS!$F$3</f>
        <v>6.4963223229999993</v>
      </c>
    </row>
    <row r="24" spans="1:4" ht="15.75" x14ac:dyDescent="0.25">
      <c r="A24" s="20">
        <v>18</v>
      </c>
      <c r="B24" s="1">
        <v>62</v>
      </c>
      <c r="C24" s="1">
        <v>6.5</v>
      </c>
      <c r="D24" s="3">
        <f>B24^4*CURVAS!$B$3+B24^3*CURVAS!$C$3+B24^2*CURVAS!$D$3+B24^1*CURVAS!$E$3+B24^0*CURVAS!$F$3</f>
        <v>6.6054914079999989</v>
      </c>
    </row>
    <row r="25" spans="1:4" ht="15.75" x14ac:dyDescent="0.25">
      <c r="A25" s="20">
        <v>18</v>
      </c>
      <c r="B25" s="1">
        <v>63</v>
      </c>
      <c r="C25" s="1">
        <v>6.6</v>
      </c>
      <c r="D25" s="3">
        <f>B25^4*CURVAS!$B$3+B25^3*CURVAS!$C$3+B25^2*CURVAS!$D$3+B25^1*CURVAS!$E$3+B25^0*CURVAS!$F$3</f>
        <v>6.7160964829999994</v>
      </c>
    </row>
    <row r="26" spans="1:4" ht="15.75" x14ac:dyDescent="0.25">
      <c r="A26" s="20">
        <v>18</v>
      </c>
      <c r="B26" s="1">
        <v>64</v>
      </c>
      <c r="C26" s="1">
        <v>6.8</v>
      </c>
      <c r="D26" s="3">
        <f>B26^4*CURVAS!$B$3+B26^3*CURVAS!$C$3+B26^2*CURVAS!$D$3+B26^1*CURVAS!$E$3+B26^0*CURVAS!$F$3</f>
        <v>6.8281468479999994</v>
      </c>
    </row>
    <row r="27" spans="1:4" ht="15.75" x14ac:dyDescent="0.25">
      <c r="A27" s="20">
        <v>18</v>
      </c>
      <c r="B27" s="1">
        <v>65</v>
      </c>
      <c r="C27" s="1">
        <v>6.9</v>
      </c>
      <c r="D27" s="3">
        <f>B27^4*CURVAS!$B$3+B27^3*CURVAS!$C$3+B27^2*CURVAS!$D$3+B27^1*CURVAS!$E$3+B27^0*CURVAS!$F$3</f>
        <v>6.9416518749999998</v>
      </c>
    </row>
    <row r="28" spans="1:4" ht="15.75" x14ac:dyDescent="0.25">
      <c r="A28" s="20">
        <v>18</v>
      </c>
      <c r="B28" s="1">
        <v>66</v>
      </c>
      <c r="C28" s="1">
        <v>7</v>
      </c>
      <c r="D28" s="3">
        <f>B28^4*CURVAS!$B$3+B28^3*CURVAS!$C$3+B28^2*CURVAS!$D$3+B28^1*CURVAS!$E$3+B28^0*CURVAS!$F$3</f>
        <v>7.0566210080000005</v>
      </c>
    </row>
    <row r="29" spans="1:4" ht="15.75" x14ac:dyDescent="0.25">
      <c r="A29" s="20">
        <v>18</v>
      </c>
      <c r="B29" s="1">
        <v>67</v>
      </c>
      <c r="C29" s="1">
        <v>7</v>
      </c>
      <c r="D29" s="3">
        <f>B29^4*CURVAS!$B$3+B29^3*CURVAS!$C$3+B29^2*CURVAS!$D$3+B29^1*CURVAS!$E$3+B29^0*CURVAS!$F$3</f>
        <v>7.173063763</v>
      </c>
    </row>
    <row r="30" spans="1:4" ht="15.75" x14ac:dyDescent="0.25">
      <c r="A30" s="20">
        <v>18</v>
      </c>
      <c r="B30" s="1">
        <v>68</v>
      </c>
      <c r="C30" s="1">
        <v>7.3</v>
      </c>
      <c r="D30" s="3">
        <f>B30^4*CURVAS!$B$3+B30^3*CURVAS!$C$3+B30^2*CURVAS!$D$3+B30^1*CURVAS!$E$3+B30^0*CURVAS!$F$3</f>
        <v>7.2909897279999996</v>
      </c>
    </row>
    <row r="31" spans="1:4" ht="15.75" x14ac:dyDescent="0.25">
      <c r="A31" s="20">
        <v>18</v>
      </c>
      <c r="B31" s="1">
        <v>69</v>
      </c>
      <c r="C31" s="1">
        <v>7.4</v>
      </c>
      <c r="D31" s="3">
        <f>B31^4*CURVAS!$B$3+B31^3*CURVAS!$C$3+B31^2*CURVAS!$D$3+B31^1*CURVAS!$E$3+B31^0*CURVAS!$F$3</f>
        <v>7.4104085629999989</v>
      </c>
    </row>
    <row r="32" spans="1:4" ht="15.75" x14ac:dyDescent="0.25">
      <c r="A32" s="20">
        <v>18</v>
      </c>
      <c r="B32" s="1">
        <v>70</v>
      </c>
      <c r="C32" s="1">
        <v>7.5</v>
      </c>
      <c r="D32" s="3">
        <f>B32^4*CURVAS!$B$3+B32^3*CURVAS!$C$3+B32^2*CURVAS!$D$3+B32^1*CURVAS!$E$3+B32^0*CURVAS!$F$3</f>
        <v>7.5313299999999987</v>
      </c>
    </row>
    <row r="33" spans="1:4" ht="15.75" x14ac:dyDescent="0.25">
      <c r="A33" s="20">
        <v>18</v>
      </c>
      <c r="B33" s="1">
        <v>71</v>
      </c>
      <c r="C33" s="1">
        <v>7.5</v>
      </c>
      <c r="D33" s="3">
        <f>B33^4*CURVAS!$B$3+B33^3*CURVAS!$C$3+B33^2*CURVAS!$D$3+B33^1*CURVAS!$E$3+B33^0*CURVAS!$F$3</f>
        <v>7.6537638430000001</v>
      </c>
    </row>
    <row r="34" spans="1:4" ht="15.75" x14ac:dyDescent="0.25">
      <c r="A34" s="20">
        <v>18</v>
      </c>
      <c r="B34" s="1">
        <v>72</v>
      </c>
      <c r="C34" s="1">
        <v>7.8</v>
      </c>
      <c r="D34" s="3">
        <f>B34^4*CURVAS!$B$3+B34^3*CURVAS!$C$3+B34^2*CURVAS!$D$3+B34^1*CURVAS!$E$3+B34^0*CURVAS!$F$3</f>
        <v>7.7777199679999995</v>
      </c>
    </row>
    <row r="35" spans="1:4" ht="15.75" x14ac:dyDescent="0.25">
      <c r="A35" s="20">
        <v>18</v>
      </c>
      <c r="B35" s="1">
        <v>73</v>
      </c>
      <c r="C35" s="1">
        <v>7.9</v>
      </c>
      <c r="D35" s="3">
        <f>B35^4*CURVAS!$B$3+B35^3*CURVAS!$C$3+B35^2*CURVAS!$D$3+B35^1*CURVAS!$E$3+B35^0*CURVAS!$F$3</f>
        <v>7.9032083229999994</v>
      </c>
    </row>
    <row r="36" spans="1:4" ht="15.75" x14ac:dyDescent="0.25">
      <c r="A36" s="20">
        <v>18</v>
      </c>
      <c r="B36" s="1">
        <v>74</v>
      </c>
      <c r="C36" s="1">
        <v>8</v>
      </c>
      <c r="D36" s="3">
        <f>B36^4*CURVAS!$B$3+B36^3*CURVAS!$C$3+B36^2*CURVAS!$D$3+B36^1*CURVAS!$E$3+B36^0*CURVAS!$F$3</f>
        <v>8.0302389279999993</v>
      </c>
    </row>
    <row r="37" spans="1:4" ht="15.75" x14ac:dyDescent="0.25">
      <c r="A37" s="20">
        <v>18</v>
      </c>
      <c r="B37" s="1">
        <v>75</v>
      </c>
      <c r="C37" s="1">
        <v>8</v>
      </c>
      <c r="D37" s="3">
        <f>B37^4*CURVAS!$B$3+B37^3*CURVAS!$C$3+B37^2*CURVAS!$D$3+B37^1*CURVAS!$E$3+B37^0*CURVAS!$F$3</f>
        <v>8.1588218749999992</v>
      </c>
    </row>
    <row r="38" spans="1:4" ht="15.75" x14ac:dyDescent="0.25">
      <c r="A38" s="20">
        <v>18</v>
      </c>
      <c r="B38" s="1">
        <v>76</v>
      </c>
      <c r="C38" s="1">
        <v>8.3000000000000007</v>
      </c>
      <c r="D38" s="3">
        <f>B38^4*CURVAS!$B$3+B38^3*CURVAS!$C$3+B38^2*CURVAS!$D$3+B38^1*CURVAS!$E$3+B38^0*CURVAS!$F$3</f>
        <v>8.288967328</v>
      </c>
    </row>
    <row r="39" spans="1:4" ht="15.75" x14ac:dyDescent="0.25">
      <c r="A39" s="20">
        <v>18</v>
      </c>
      <c r="B39" s="1">
        <v>77</v>
      </c>
      <c r="C39" s="1">
        <v>8.4</v>
      </c>
      <c r="D39" s="3">
        <f>B39^4*CURVAS!$B$3+B39^3*CURVAS!$C$3+B39^2*CURVAS!$D$3+B39^1*CURVAS!$E$3+B39^0*CURVAS!$F$3</f>
        <v>8.4206855229999995</v>
      </c>
    </row>
    <row r="40" spans="1:4" ht="15.75" x14ac:dyDescent="0.25">
      <c r="A40" s="20">
        <v>18</v>
      </c>
      <c r="B40" s="1">
        <v>78</v>
      </c>
      <c r="C40" s="1">
        <v>8.5</v>
      </c>
      <c r="D40" s="3">
        <f>B40^4*CURVAS!$B$3+B40^3*CURVAS!$C$3+B40^2*CURVAS!$D$3+B40^1*CURVAS!$E$3+B40^0*CURVAS!$F$3</f>
        <v>8.5539867679999997</v>
      </c>
    </row>
    <row r="41" spans="1:4" ht="15.75" x14ac:dyDescent="0.25">
      <c r="A41" s="20">
        <v>18</v>
      </c>
      <c r="B41" s="1">
        <v>79</v>
      </c>
      <c r="C41" s="1">
        <v>8.5</v>
      </c>
      <c r="D41" s="3">
        <f>B41^4*CURVAS!$B$3+B41^3*CURVAS!$C$3+B41^2*CURVAS!$D$3+B41^1*CURVAS!$E$3+B41^0*CURVAS!$F$3</f>
        <v>8.6888814429999996</v>
      </c>
    </row>
    <row r="42" spans="1:4" ht="15.75" x14ac:dyDescent="0.25">
      <c r="A42" s="20">
        <v>18</v>
      </c>
      <c r="B42" s="1">
        <v>80</v>
      </c>
      <c r="C42" s="1">
        <v>8.9</v>
      </c>
      <c r="D42" s="3">
        <f>B42^4*CURVAS!$B$3+B42^3*CURVAS!$C$3+B42^2*CURVAS!$D$3+B42^1*CURVAS!$E$3+B42^0*CURVAS!$F$3</f>
        <v>8.8253799999999991</v>
      </c>
    </row>
    <row r="43" spans="1:4" ht="15.75" x14ac:dyDescent="0.25">
      <c r="A43" s="20">
        <v>18</v>
      </c>
      <c r="B43" s="1">
        <v>81</v>
      </c>
      <c r="C43" s="1">
        <v>8.9</v>
      </c>
      <c r="D43" s="3">
        <f>B43^4*CURVAS!$B$3+B43^3*CURVAS!$C$3+B43^2*CURVAS!$D$3+B43^1*CURVAS!$E$3+B43^0*CURVAS!$F$3</f>
        <v>8.9634929630000002</v>
      </c>
    </row>
    <row r="44" spans="1:4" ht="15.75" x14ac:dyDescent="0.25">
      <c r="A44" s="20">
        <v>18</v>
      </c>
      <c r="B44" s="1">
        <v>82</v>
      </c>
      <c r="C44" s="1">
        <v>9</v>
      </c>
      <c r="D44" s="3">
        <f>B44^4*CURVAS!$B$3+B44^3*CURVAS!$C$3+B44^2*CURVAS!$D$3+B44^1*CURVAS!$E$3+B44^0*CURVAS!$F$3</f>
        <v>9.1032309280000003</v>
      </c>
    </row>
    <row r="45" spans="1:4" ht="15.75" x14ac:dyDescent="0.25">
      <c r="A45" s="20">
        <v>18</v>
      </c>
      <c r="B45" s="1">
        <v>83</v>
      </c>
      <c r="C45" s="1">
        <v>9.1</v>
      </c>
      <c r="D45" s="3">
        <f>B45^4*CURVAS!$B$3+B45^3*CURVAS!$C$3+B45^2*CURVAS!$D$3+B45^1*CURVAS!$E$3+B45^0*CURVAS!$F$3</f>
        <v>9.2446045629999993</v>
      </c>
    </row>
    <row r="46" spans="1:4" ht="15.75" x14ac:dyDescent="0.25">
      <c r="A46" s="20">
        <v>18</v>
      </c>
      <c r="B46" s="1">
        <v>84</v>
      </c>
      <c r="C46" s="1">
        <v>9.4</v>
      </c>
      <c r="D46" s="3">
        <f>B46^4*CURVAS!$B$3+B46^3*CURVAS!$C$3+B46^2*CURVAS!$D$3+B46^1*CURVAS!$E$3+B46^0*CURVAS!$F$3</f>
        <v>9.3876246079999994</v>
      </c>
    </row>
    <row r="47" spans="1:4" ht="15.75" x14ac:dyDescent="0.25">
      <c r="A47" s="20">
        <v>18</v>
      </c>
      <c r="B47" s="1">
        <v>85</v>
      </c>
      <c r="C47" s="1">
        <v>9.5</v>
      </c>
      <c r="D47" s="3">
        <f>B47^4*CURVAS!$B$3+B47^3*CURVAS!$C$3+B47^2*CURVAS!$D$3+B47^1*CURVAS!$E$3+B47^0*CURVAS!$F$3</f>
        <v>9.5323018749999999</v>
      </c>
    </row>
    <row r="48" spans="1:4" ht="15.75" x14ac:dyDescent="0.25">
      <c r="A48" s="20">
        <v>18</v>
      </c>
      <c r="B48" s="1">
        <v>86</v>
      </c>
      <c r="C48" s="1">
        <v>9.6</v>
      </c>
      <c r="D48" s="3">
        <f>B48^4*CURVAS!$B$3+B48^3*CURVAS!$C$3+B48^2*CURVAS!$D$3+B48^1*CURVAS!$E$3+B48^0*CURVAS!$F$3</f>
        <v>9.678647247999999</v>
      </c>
    </row>
    <row r="49" spans="1:4" ht="15.75" x14ac:dyDescent="0.25">
      <c r="A49" s="20">
        <v>18</v>
      </c>
      <c r="B49" s="1">
        <v>87</v>
      </c>
      <c r="C49" s="1">
        <v>9.6999999999999993</v>
      </c>
      <c r="D49" s="3">
        <f>B49^4*CURVAS!$B$3+B49^3*CURVAS!$C$3+B49^2*CURVAS!$D$3+B49^1*CURVAS!$E$3+B49^0*CURVAS!$F$3</f>
        <v>9.8266716829999989</v>
      </c>
    </row>
    <row r="50" spans="1:4" ht="15.75" x14ac:dyDescent="0.25">
      <c r="A50" s="20">
        <v>18</v>
      </c>
      <c r="B50" s="1">
        <v>88</v>
      </c>
      <c r="C50" s="1">
        <v>10</v>
      </c>
      <c r="D50" s="3">
        <f>B50^4*CURVAS!$B$3+B50^3*CURVAS!$C$3+B50^2*CURVAS!$D$3+B50^1*CURVAS!$E$3+B50^0*CURVAS!$F$3</f>
        <v>9.9763862079999992</v>
      </c>
    </row>
    <row r="51" spans="1:4" ht="15.75" x14ac:dyDescent="0.25">
      <c r="A51" s="20">
        <v>18</v>
      </c>
      <c r="B51" s="1">
        <v>89</v>
      </c>
      <c r="C51" s="1">
        <v>10.1</v>
      </c>
      <c r="D51" s="3">
        <f>B51^4*CURVAS!$B$3+B51^3*CURVAS!$C$3+B51^2*CURVAS!$D$3+B51^1*CURVAS!$E$3+B51^0*CURVAS!$F$3</f>
        <v>10.127801923</v>
      </c>
    </row>
    <row r="52" spans="1:4" ht="15.75" x14ac:dyDescent="0.25">
      <c r="A52" s="20">
        <v>18</v>
      </c>
      <c r="B52" s="1">
        <v>90</v>
      </c>
      <c r="C52" s="1">
        <v>10.199999999999999</v>
      </c>
      <c r="D52" s="3">
        <f>B52^4*CURVAS!$B$3+B52^3*CURVAS!$C$3+B52^2*CURVAS!$D$3+B52^1*CURVAS!$E$3+B52^0*CURVAS!$F$3</f>
        <v>10.28093</v>
      </c>
    </row>
    <row r="53" spans="1:4" ht="15.75" x14ac:dyDescent="0.25">
      <c r="A53" s="20">
        <v>18</v>
      </c>
      <c r="B53" s="1">
        <v>91</v>
      </c>
      <c r="C53" s="1">
        <v>10.3</v>
      </c>
      <c r="D53" s="3">
        <f>B53^4*CURVAS!$B$3+B53^3*CURVAS!$C$3+B53^2*CURVAS!$D$3+B53^1*CURVAS!$E$3+B53^0*CURVAS!$F$3</f>
        <v>10.435781683</v>
      </c>
    </row>
    <row r="54" spans="1:4" ht="15.75" x14ac:dyDescent="0.25">
      <c r="A54" s="20">
        <v>18</v>
      </c>
      <c r="B54" s="1">
        <v>92</v>
      </c>
      <c r="C54" s="1">
        <v>10.6</v>
      </c>
      <c r="D54" s="3">
        <f>B54^4*CURVAS!$B$3+B54^3*CURVAS!$C$3+B54^2*CURVAS!$D$3+B54^1*CURVAS!$E$3+B54^0*CURVAS!$F$3</f>
        <v>10.592368287999999</v>
      </c>
    </row>
    <row r="55" spans="1:4" ht="15.75" x14ac:dyDescent="0.25">
      <c r="A55" s="20">
        <v>18</v>
      </c>
      <c r="B55" s="1">
        <v>93</v>
      </c>
      <c r="C55" s="1">
        <v>10.7</v>
      </c>
      <c r="D55" s="3">
        <f>B55^4*CURVAS!$B$3+B55^3*CURVAS!$C$3+B55^2*CURVAS!$D$3+B55^1*CURVAS!$E$3+B55^0*CURVAS!$F$3</f>
        <v>10.750701202999998</v>
      </c>
    </row>
    <row r="56" spans="1:4" ht="15.75" x14ac:dyDescent="0.25">
      <c r="A56" s="20">
        <v>18</v>
      </c>
      <c r="B56" s="1">
        <v>94</v>
      </c>
      <c r="C56" s="1">
        <v>10.8</v>
      </c>
      <c r="D56" s="3">
        <f>B56^4*CURVAS!$B$3+B56^3*CURVAS!$C$3+B56^2*CURVAS!$D$3+B56^1*CURVAS!$E$3+B56^0*CURVAS!$F$3</f>
        <v>10.910791887999999</v>
      </c>
    </row>
    <row r="57" spans="1:4" ht="15.75" x14ac:dyDescent="0.25">
      <c r="A57" s="20">
        <v>18</v>
      </c>
      <c r="B57" s="1">
        <v>95</v>
      </c>
      <c r="C57" s="1">
        <v>10.9</v>
      </c>
      <c r="D57" s="3">
        <f>B57^4*CURVAS!$B$3+B57^3*CURVAS!$C$3+B57^2*CURVAS!$D$3+B57^1*CURVAS!$E$3+B57^0*CURVAS!$F$3</f>
        <v>11.072651874999998</v>
      </c>
    </row>
    <row r="58" spans="1:4" ht="15.75" x14ac:dyDescent="0.25">
      <c r="A58" s="20">
        <v>18</v>
      </c>
      <c r="B58" s="1">
        <v>96</v>
      </c>
      <c r="C58" s="1">
        <v>11.3</v>
      </c>
      <c r="D58" s="3">
        <f>B58^4*CURVAS!$B$3+B58^3*CURVAS!$C$3+B58^2*CURVAS!$D$3+B58^1*CURVAS!$E$3+B58^0*CURVAS!$F$3</f>
        <v>11.236292768</v>
      </c>
    </row>
    <row r="59" spans="1:4" ht="15.75" x14ac:dyDescent="0.25">
      <c r="A59" s="20">
        <v>18</v>
      </c>
      <c r="B59" s="1">
        <v>97</v>
      </c>
      <c r="C59" s="1">
        <v>11.4</v>
      </c>
      <c r="D59" s="3">
        <f>B59^4*CURVAS!$B$3+B59^3*CURVAS!$C$3+B59^2*CURVAS!$D$3+B59^1*CURVAS!$E$3+B59^0*CURVAS!$F$3</f>
        <v>11.401726242999999</v>
      </c>
    </row>
    <row r="60" spans="1:4" ht="15.75" x14ac:dyDescent="0.25">
      <c r="A60" s="20">
        <v>18</v>
      </c>
      <c r="B60" s="1">
        <v>98</v>
      </c>
      <c r="C60" s="1">
        <v>11.5</v>
      </c>
      <c r="D60" s="3">
        <f>B60^4*CURVAS!$B$3+B60^3*CURVAS!$C$3+B60^2*CURVAS!$D$3+B60^1*CURVAS!$E$3+B60^0*CURVAS!$F$3</f>
        <v>11.568964048</v>
      </c>
    </row>
    <row r="61" spans="1:4" ht="15.75" x14ac:dyDescent="0.25">
      <c r="A61" s="20">
        <v>18</v>
      </c>
      <c r="B61" s="1">
        <v>99</v>
      </c>
      <c r="C61" s="1">
        <v>11.6</v>
      </c>
      <c r="D61" s="3">
        <f>B61^4*CURVAS!$B$3+B61^3*CURVAS!$C$3+B61^2*CURVAS!$D$3+B61^1*CURVAS!$E$3+B61^0*CURVAS!$F$3</f>
        <v>11.738018003000001</v>
      </c>
    </row>
    <row r="62" spans="1:4" ht="15.75" x14ac:dyDescent="0.25">
      <c r="A62" s="20">
        <v>18</v>
      </c>
      <c r="B62" s="1">
        <v>100</v>
      </c>
      <c r="C62" s="1">
        <v>12</v>
      </c>
      <c r="D62" s="3">
        <f>B62^4*CURVAS!$B$3+B62^3*CURVAS!$C$3+B62^2*CURVAS!$D$3+B62^1*CURVAS!$E$3+B62^0*CURVAS!$F$3</f>
        <v>11.908899999999999</v>
      </c>
    </row>
    <row r="63" spans="1:4" ht="15.75" x14ac:dyDescent="0.25">
      <c r="A63" s="20">
        <v>18</v>
      </c>
      <c r="B63" s="1">
        <v>101</v>
      </c>
      <c r="C63" s="1">
        <v>12.1</v>
      </c>
      <c r="D63" s="3">
        <f>B63^4*CURVAS!$B$3+B63^3*CURVAS!$C$3+B63^2*CURVAS!$D$3+B63^1*CURVAS!$E$3+B63^0*CURVAS!$F$3</f>
        <v>12.081622003</v>
      </c>
    </row>
    <row r="64" spans="1:4" ht="15.75" x14ac:dyDescent="0.25">
      <c r="A64" s="20">
        <v>18</v>
      </c>
      <c r="B64" s="1">
        <v>102</v>
      </c>
      <c r="C64" s="1">
        <v>12.2</v>
      </c>
      <c r="D64" s="3">
        <f>B64^4*CURVAS!$B$3+B64^3*CURVAS!$C$3+B64^2*CURVAS!$D$3+B64^1*CURVAS!$E$3+B64^0*CURVAS!$F$3</f>
        <v>12.256196048</v>
      </c>
    </row>
    <row r="65" spans="1:4" ht="15.75" x14ac:dyDescent="0.25">
      <c r="A65" s="20">
        <v>18</v>
      </c>
      <c r="B65" s="1">
        <v>103</v>
      </c>
      <c r="C65" s="1">
        <v>12.3</v>
      </c>
      <c r="D65" s="3">
        <f>B65^4*CURVAS!$B$3+B65^3*CURVAS!$C$3+B65^2*CURVAS!$D$3+B65^1*CURVAS!$E$3+B65^0*CURVAS!$F$3</f>
        <v>12.432634242999999</v>
      </c>
    </row>
    <row r="66" spans="1:4" ht="15.75" x14ac:dyDescent="0.25">
      <c r="A66" s="20">
        <v>18</v>
      </c>
      <c r="B66" s="1">
        <v>104</v>
      </c>
      <c r="C66" s="1">
        <v>12.7</v>
      </c>
      <c r="D66" s="3">
        <f>B66^4*CURVAS!$B$3+B66^3*CURVAS!$C$3+B66^2*CURVAS!$D$3+B66^1*CURVAS!$E$3+B66^0*CURVAS!$F$3</f>
        <v>12.610948768</v>
      </c>
    </row>
    <row r="67" spans="1:4" ht="15.75" x14ac:dyDescent="0.25">
      <c r="A67" s="20">
        <v>18</v>
      </c>
      <c r="B67" s="1">
        <v>105</v>
      </c>
      <c r="C67" s="1">
        <v>12.8</v>
      </c>
      <c r="D67" s="3">
        <f>B67^4*CURVAS!$B$3+B67^3*CURVAS!$C$3+B67^2*CURVAS!$D$3+B67^1*CURVAS!$E$3+B67^0*CURVAS!$F$3</f>
        <v>12.791151874999999</v>
      </c>
    </row>
    <row r="68" spans="1:4" ht="15.75" x14ac:dyDescent="0.25">
      <c r="A68" s="20">
        <v>18</v>
      </c>
      <c r="B68" s="1">
        <v>106</v>
      </c>
      <c r="C68" s="1">
        <v>12.8</v>
      </c>
      <c r="D68" s="3">
        <f>B68^4*CURVAS!$B$3+B68^3*CURVAS!$C$3+B68^2*CURVAS!$D$3+B68^1*CURVAS!$E$3+B68^0*CURVAS!$F$3</f>
        <v>12.973255888000001</v>
      </c>
    </row>
    <row r="69" spans="1:4" ht="15.75" x14ac:dyDescent="0.25">
      <c r="A69" s="20">
        <v>18</v>
      </c>
      <c r="B69" s="1">
        <v>107</v>
      </c>
      <c r="C69" s="1">
        <v>12.9</v>
      </c>
      <c r="D69" s="3">
        <f>B69^4*CURVAS!$B$3+B69^3*CURVAS!$C$3+B69^2*CURVAS!$D$3+B69^1*CURVAS!$E$3+B69^0*CURVAS!$F$3</f>
        <v>13.157273202999999</v>
      </c>
    </row>
    <row r="70" spans="1:4" ht="15.75" x14ac:dyDescent="0.25">
      <c r="A70" s="20">
        <v>18</v>
      </c>
      <c r="B70" s="1">
        <v>108</v>
      </c>
      <c r="C70" s="1">
        <v>13.4</v>
      </c>
      <c r="D70" s="3">
        <f>B70^4*CURVAS!$B$3+B70^3*CURVAS!$C$3+B70^2*CURVAS!$D$3+B70^1*CURVAS!$E$3+B70^0*CURVAS!$F$3</f>
        <v>13.343216287999999</v>
      </c>
    </row>
    <row r="71" spans="1:4" ht="15.75" x14ac:dyDescent="0.25">
      <c r="A71" s="20">
        <v>18</v>
      </c>
      <c r="B71" s="1">
        <v>109</v>
      </c>
      <c r="C71" s="1">
        <v>13.5</v>
      </c>
      <c r="D71" s="3">
        <f>B71^4*CURVAS!$B$3+B71^3*CURVAS!$C$3+B71^2*CURVAS!$D$3+B71^1*CURVAS!$E$3+B71^0*CURVAS!$F$3</f>
        <v>13.531097682999999</v>
      </c>
    </row>
    <row r="72" spans="1:4" ht="15.75" x14ac:dyDescent="0.25">
      <c r="A72" s="20">
        <v>18</v>
      </c>
      <c r="B72" s="1">
        <v>110</v>
      </c>
      <c r="C72" s="1">
        <v>13.6</v>
      </c>
      <c r="D72" s="3">
        <f>B72^4*CURVAS!$B$3+B72^3*CURVAS!$C$3+B72^2*CURVAS!$D$3+B72^1*CURVAS!$E$3+B72^0*CURVAS!$F$3</f>
        <v>13.720929999999999</v>
      </c>
    </row>
    <row r="73" spans="1:4" ht="15.75" x14ac:dyDescent="0.25">
      <c r="A73" s="20">
        <v>18</v>
      </c>
      <c r="B73" s="1">
        <v>111</v>
      </c>
      <c r="C73" s="1">
        <v>13.7</v>
      </c>
      <c r="D73" s="3">
        <f>B73^4*CURVAS!$B$3+B73^3*CURVAS!$C$3+B73^2*CURVAS!$D$3+B73^1*CURVAS!$E$3+B73^0*CURVAS!$F$3</f>
        <v>13.912725923</v>
      </c>
    </row>
    <row r="74" spans="1:4" ht="15.75" x14ac:dyDescent="0.25">
      <c r="A74" s="20">
        <v>18</v>
      </c>
      <c r="B74" s="1">
        <v>112</v>
      </c>
      <c r="C74" s="1">
        <v>14.2</v>
      </c>
      <c r="D74" s="3">
        <f>B74^4*CURVAS!$B$3+B74^3*CURVAS!$C$3+B74^2*CURVAS!$D$3+B74^1*CURVAS!$E$3+B74^0*CURVAS!$F$3</f>
        <v>14.106498208</v>
      </c>
    </row>
    <row r="75" spans="1:4" ht="15.75" x14ac:dyDescent="0.25">
      <c r="A75" s="20">
        <v>18</v>
      </c>
      <c r="B75" s="1">
        <v>113</v>
      </c>
      <c r="C75" s="1">
        <v>14.3</v>
      </c>
      <c r="D75" s="3">
        <f>B75^4*CURVAS!$B$3+B75^3*CURVAS!$C$3+B75^2*CURVAS!$D$3+B75^1*CURVAS!$E$3+B75^0*CURVAS!$F$3</f>
        <v>14.302259682999999</v>
      </c>
    </row>
    <row r="76" spans="1:4" ht="15.75" x14ac:dyDescent="0.25">
      <c r="A76" s="20">
        <v>18</v>
      </c>
      <c r="B76" s="1">
        <v>114</v>
      </c>
      <c r="C76" s="1">
        <v>14.4</v>
      </c>
      <c r="D76" s="3">
        <f>B76^4*CURVAS!$B$3+B76^3*CURVAS!$C$3+B76^2*CURVAS!$D$3+B76^1*CURVAS!$E$3+B76^0*CURVAS!$F$3</f>
        <v>14.500023247999998</v>
      </c>
    </row>
    <row r="77" spans="1:4" ht="15.75" x14ac:dyDescent="0.25">
      <c r="A77" s="20">
        <v>18</v>
      </c>
      <c r="B77" s="1">
        <v>115</v>
      </c>
      <c r="C77" s="1">
        <v>14.5</v>
      </c>
      <c r="D77" s="3">
        <f>B77^4*CURVAS!$B$3+B77^3*CURVAS!$C$3+B77^2*CURVAS!$D$3+B77^1*CURVAS!$E$3+B77^0*CURVAS!$F$3</f>
        <v>14.699801874999999</v>
      </c>
    </row>
    <row r="78" spans="1:4" ht="15.75" x14ac:dyDescent="0.25">
      <c r="A78" s="20">
        <v>18</v>
      </c>
      <c r="B78" s="1">
        <v>116</v>
      </c>
      <c r="C78" s="1">
        <v>15</v>
      </c>
      <c r="D78" s="3">
        <f>B78^4*CURVAS!$B$3+B78^3*CURVAS!$C$3+B78^2*CURVAS!$D$3+B78^1*CURVAS!$E$3+B78^0*CURVAS!$F$3</f>
        <v>14.901608608</v>
      </c>
    </row>
    <row r="79" spans="1:4" ht="15.75" x14ac:dyDescent="0.25">
      <c r="A79" s="20">
        <v>18</v>
      </c>
      <c r="B79" s="1">
        <v>117</v>
      </c>
      <c r="C79" s="1">
        <v>15.1</v>
      </c>
      <c r="D79" s="3">
        <f>B79^4*CURVAS!$B$3+B79^3*CURVAS!$C$3+B79^2*CURVAS!$D$3+B79^1*CURVAS!$E$3+B79^0*CURVAS!$F$3</f>
        <v>15.105456563000001</v>
      </c>
    </row>
    <row r="80" spans="1:4" ht="15.75" x14ac:dyDescent="0.25">
      <c r="A80" s="20">
        <v>18</v>
      </c>
      <c r="B80" s="1">
        <v>118</v>
      </c>
      <c r="C80" s="1">
        <v>15.2</v>
      </c>
      <c r="D80" s="3">
        <f>B80^4*CURVAS!$B$3+B80^3*CURVAS!$C$3+B80^2*CURVAS!$D$3+B80^1*CURVAS!$E$3+B80^0*CURVAS!$F$3</f>
        <v>15.311358928000001</v>
      </c>
    </row>
    <row r="81" spans="1:4" ht="15.75" x14ac:dyDescent="0.25">
      <c r="A81" s="20">
        <v>18</v>
      </c>
      <c r="B81" s="1">
        <v>119</v>
      </c>
      <c r="C81" s="1">
        <v>15.3</v>
      </c>
      <c r="D81" s="3">
        <f>B81^4*CURVAS!$B$3+B81^3*CURVAS!$C$3+B81^2*CURVAS!$D$3+B81^1*CURVAS!$E$3+B81^0*CURVAS!$F$3</f>
        <v>15.519328963</v>
      </c>
    </row>
    <row r="82" spans="1:4" ht="15.75" x14ac:dyDescent="0.25">
      <c r="A82" s="20">
        <v>18</v>
      </c>
      <c r="B82" s="1">
        <v>120</v>
      </c>
      <c r="C82" s="1">
        <v>15.8</v>
      </c>
      <c r="D82" s="3">
        <f>B82^4*CURVAS!$B$3+B82^3*CURVAS!$C$3+B82^2*CURVAS!$D$3+B82^1*CURVAS!$E$3+B82^0*CURVAS!$F$3</f>
        <v>15.729379999999999</v>
      </c>
    </row>
    <row r="83" spans="1:4" ht="15.75" x14ac:dyDescent="0.25">
      <c r="A83" s="20">
        <v>18</v>
      </c>
      <c r="B83" s="1">
        <v>121</v>
      </c>
      <c r="C83" s="1">
        <v>15.9</v>
      </c>
      <c r="D83" s="3">
        <f>B83^4*CURVAS!$B$3+B83^3*CURVAS!$C$3+B83^2*CURVAS!$D$3+B83^1*CURVAS!$E$3+B83^0*CURVAS!$F$3</f>
        <v>15.941525442999998</v>
      </c>
    </row>
    <row r="84" spans="1:4" ht="15.75" x14ac:dyDescent="0.25">
      <c r="A84" s="20">
        <v>18</v>
      </c>
      <c r="B84" s="1">
        <v>122</v>
      </c>
      <c r="C84" s="1">
        <v>16</v>
      </c>
      <c r="D84" s="3">
        <f>B84^4*CURVAS!$B$3+B84^3*CURVAS!$C$3+B84^2*CURVAS!$D$3+B84^1*CURVAS!$E$3+B84^0*CURVAS!$F$3</f>
        <v>16.155778768000001</v>
      </c>
    </row>
    <row r="85" spans="1:4" ht="15.75" x14ac:dyDescent="0.25">
      <c r="A85" s="20">
        <v>18</v>
      </c>
      <c r="B85" s="1">
        <v>123</v>
      </c>
      <c r="C85" s="1">
        <v>16.100000000000001</v>
      </c>
      <c r="D85" s="3">
        <f>B85^4*CURVAS!$B$3+B85^3*CURVAS!$C$3+B85^2*CURVAS!$D$3+B85^1*CURVAS!$E$3+B85^0*CURVAS!$F$3</f>
        <v>16.372153523000001</v>
      </c>
    </row>
    <row r="86" spans="1:4" ht="15.75" x14ac:dyDescent="0.25">
      <c r="A86" s="20">
        <v>18</v>
      </c>
      <c r="B86" s="1">
        <v>124</v>
      </c>
      <c r="C86" s="1">
        <v>16.7</v>
      </c>
      <c r="D86" s="3">
        <f>B86^4*CURVAS!$B$3+B86^3*CURVAS!$C$3+B86^2*CURVAS!$D$3+B86^1*CURVAS!$E$3+B86^0*CURVAS!$F$3</f>
        <v>16.590663327999998</v>
      </c>
    </row>
    <row r="87" spans="1:4" ht="15.75" x14ac:dyDescent="0.25">
      <c r="A87" s="20">
        <v>18</v>
      </c>
      <c r="B87" s="1">
        <v>125</v>
      </c>
      <c r="C87" s="1">
        <v>16.8</v>
      </c>
      <c r="D87" s="3">
        <f>B87^4*CURVAS!$B$3+B87^3*CURVAS!$C$3+B87^2*CURVAS!$D$3+B87^1*CURVAS!$E$3+B87^0*CURVAS!$F$3</f>
        <v>16.811321875000001</v>
      </c>
    </row>
    <row r="88" spans="1:4" ht="15.75" x14ac:dyDescent="0.25">
      <c r="A88" s="20">
        <v>18</v>
      </c>
      <c r="B88" s="1">
        <v>126</v>
      </c>
      <c r="C88" s="1">
        <v>16.899999999999999</v>
      </c>
      <c r="D88" s="3">
        <f>B88^4*CURVAS!$B$3+B88^3*CURVAS!$C$3+B88^2*CURVAS!$D$3+B88^1*CURVAS!$E$3+B88^0*CURVAS!$F$3</f>
        <v>17.034142927999998</v>
      </c>
    </row>
    <row r="89" spans="1:4" ht="15.75" x14ac:dyDescent="0.25">
      <c r="A89" s="20">
        <v>18</v>
      </c>
      <c r="B89" s="1">
        <v>127</v>
      </c>
      <c r="C89" s="1">
        <v>17</v>
      </c>
      <c r="D89" s="3">
        <f>B89^4*CURVAS!$B$3+B89^3*CURVAS!$C$3+B89^2*CURVAS!$D$3+B89^1*CURVAS!$E$3+B89^0*CURVAS!$F$3</f>
        <v>17.259140323</v>
      </c>
    </row>
    <row r="90" spans="1:4" ht="15.75" x14ac:dyDescent="0.25">
      <c r="A90" s="20">
        <v>18</v>
      </c>
      <c r="B90" s="1">
        <v>128</v>
      </c>
      <c r="C90" s="1">
        <v>17.600000000000001</v>
      </c>
      <c r="D90" s="3">
        <f>B90^4*CURVAS!$B$3+B90^3*CURVAS!$C$3+B90^2*CURVAS!$D$3+B90^1*CURVAS!$E$3+B90^0*CURVAS!$F$3</f>
        <v>17.486327968000001</v>
      </c>
    </row>
    <row r="91" spans="1:4" ht="15.75" x14ac:dyDescent="0.25">
      <c r="A91" s="20">
        <v>18</v>
      </c>
      <c r="B91" s="1">
        <v>129</v>
      </c>
      <c r="C91" s="1">
        <v>17.7</v>
      </c>
      <c r="D91" s="3">
        <f>B91^4*CURVAS!$B$3+B91^3*CURVAS!$C$3+B91^2*CURVAS!$D$3+B91^1*CURVAS!$E$3+B91^0*CURVAS!$F$3</f>
        <v>17.715719843000002</v>
      </c>
    </row>
    <row r="92" spans="1:4" ht="15.75" x14ac:dyDescent="0.25">
      <c r="A92" s="20">
        <v>18</v>
      </c>
      <c r="B92" s="1">
        <v>130</v>
      </c>
      <c r="C92" s="1">
        <v>17.8</v>
      </c>
      <c r="D92" s="3">
        <f>B92^4*CURVAS!$B$3+B92^3*CURVAS!$C$3+B92^2*CURVAS!$D$3+B92^1*CURVAS!$E$3+B92^0*CURVAS!$F$3</f>
        <v>17.947329999999997</v>
      </c>
    </row>
    <row r="93" spans="1:4" ht="15.75" x14ac:dyDescent="0.25">
      <c r="A93" s="20">
        <v>18</v>
      </c>
      <c r="B93" s="1">
        <v>131</v>
      </c>
      <c r="C93" s="1">
        <v>17.899999999999999</v>
      </c>
      <c r="D93" s="3">
        <f>B93^4*CURVAS!$B$3+B93^3*CURVAS!$C$3+B93^2*CURVAS!$D$3+B93^1*CURVAS!$E$3+B93^0*CURVAS!$F$3</f>
        <v>18.181172563000001</v>
      </c>
    </row>
    <row r="94" spans="1:4" ht="15.75" x14ac:dyDescent="0.25">
      <c r="A94" s="20">
        <v>18</v>
      </c>
      <c r="B94" s="1">
        <v>132</v>
      </c>
      <c r="C94" s="1">
        <v>18.5</v>
      </c>
      <c r="D94" s="3">
        <f>B94^4*CURVAS!$B$3+B94^3*CURVAS!$C$3+B94^2*CURVAS!$D$3+B94^1*CURVAS!$E$3+B94^0*CURVAS!$F$3</f>
        <v>18.417261728</v>
      </c>
    </row>
    <row r="95" spans="1:4" ht="15.75" x14ac:dyDescent="0.25">
      <c r="A95" s="20">
        <v>18</v>
      </c>
      <c r="B95" s="1">
        <v>133</v>
      </c>
      <c r="C95" s="1">
        <v>18.600000000000001</v>
      </c>
      <c r="D95" s="3">
        <f>B95^4*CURVAS!$B$3+B95^3*CURVAS!$C$3+B95^2*CURVAS!$D$3+B95^1*CURVAS!$E$3+B95^0*CURVAS!$F$3</f>
        <v>18.655611763</v>
      </c>
    </row>
    <row r="96" spans="1:4" ht="15.75" x14ac:dyDescent="0.25">
      <c r="A96" s="20">
        <v>18</v>
      </c>
      <c r="B96" s="1">
        <v>134</v>
      </c>
      <c r="C96" s="1">
        <v>18.7</v>
      </c>
      <c r="D96" s="3">
        <f>B96^4*CURVAS!$B$3+B96^3*CURVAS!$C$3+B96^2*CURVAS!$D$3+B96^1*CURVAS!$E$3+B96^0*CURVAS!$F$3</f>
        <v>18.896237008</v>
      </c>
    </row>
    <row r="97" spans="1:4" ht="15.75" x14ac:dyDescent="0.25">
      <c r="A97" s="20">
        <v>18</v>
      </c>
      <c r="B97" s="1">
        <v>135</v>
      </c>
      <c r="C97" s="1">
        <v>18.899999999999999</v>
      </c>
      <c r="D97" s="3">
        <f>B97^4*CURVAS!$B$3+B97^3*CURVAS!$C$3+B97^2*CURVAS!$D$3+B97^1*CURVAS!$E$3+B97^0*CURVAS!$F$3</f>
        <v>19.139151875</v>
      </c>
    </row>
    <row r="98" spans="1:4" ht="15.75" x14ac:dyDescent="0.25">
      <c r="A98" s="20">
        <v>18</v>
      </c>
      <c r="B98" s="1">
        <v>136</v>
      </c>
      <c r="C98" s="1">
        <v>19.5</v>
      </c>
      <c r="D98" s="3">
        <f>B98^4*CURVAS!$B$3+B98^3*CURVAS!$C$3+B98^2*CURVAS!$D$3+B98^1*CURVAS!$E$3+B98^0*CURVAS!$F$3</f>
        <v>19.384370848</v>
      </c>
    </row>
    <row r="99" spans="1:4" ht="15.75" x14ac:dyDescent="0.25">
      <c r="A99" s="20">
        <v>18</v>
      </c>
      <c r="B99" s="1">
        <v>137</v>
      </c>
      <c r="C99" s="1">
        <v>19.600000000000001</v>
      </c>
      <c r="D99" s="3">
        <f>B99^4*CURVAS!$B$3+B99^3*CURVAS!$C$3+B99^2*CURVAS!$D$3+B99^1*CURVAS!$E$3+B99^0*CURVAS!$F$3</f>
        <v>19.631908483</v>
      </c>
    </row>
    <row r="100" spans="1:4" ht="15.75" x14ac:dyDescent="0.25">
      <c r="A100" s="20">
        <v>18</v>
      </c>
      <c r="B100" s="1">
        <v>138</v>
      </c>
      <c r="C100" s="1">
        <v>19.8</v>
      </c>
      <c r="D100" s="3">
        <f>B100^4*CURVAS!$B$3+B100^3*CURVAS!$C$3+B100^2*CURVAS!$D$3+B100^1*CURVAS!$E$3+B100^0*CURVAS!$F$3</f>
        <v>19.881779408</v>
      </c>
    </row>
    <row r="101" spans="1:4" ht="15.75" x14ac:dyDescent="0.25">
      <c r="A101" s="20">
        <v>18</v>
      </c>
      <c r="B101" s="1">
        <v>139</v>
      </c>
      <c r="C101" s="1">
        <v>19.899999999999999</v>
      </c>
      <c r="D101" s="3">
        <f>B101^4*CURVAS!$B$3+B101^3*CURVAS!$C$3+B101^2*CURVAS!$D$3+B101^1*CURVAS!$E$3+B101^0*CURVAS!$F$3</f>
        <v>20.133998323</v>
      </c>
    </row>
    <row r="102" spans="1:4" ht="15.75" x14ac:dyDescent="0.25">
      <c r="A102" s="20">
        <v>18</v>
      </c>
      <c r="B102" s="1">
        <v>140</v>
      </c>
      <c r="C102" s="1">
        <v>20.5</v>
      </c>
      <c r="D102" s="3">
        <f>B102^4*CURVAS!$B$3+B102^3*CURVAS!$C$3+B102^2*CURVAS!$D$3+B102^1*CURVAS!$E$3+B102^0*CURVAS!$F$3</f>
        <v>20.388580000000001</v>
      </c>
    </row>
    <row r="103" spans="1:4" ht="15.75" x14ac:dyDescent="0.25">
      <c r="A103" s="20">
        <v>18</v>
      </c>
      <c r="B103" s="1">
        <v>141</v>
      </c>
      <c r="C103" s="1">
        <v>20.6</v>
      </c>
      <c r="D103" s="3">
        <f>B103^4*CURVAS!$B$3+B103^3*CURVAS!$C$3+B103^2*CURVAS!$D$3+B103^1*CURVAS!$E$3+B103^0*CURVAS!$F$3</f>
        <v>20.645539282999998</v>
      </c>
    </row>
    <row r="104" spans="1:4" ht="15.75" x14ac:dyDescent="0.25">
      <c r="A104" s="20">
        <v>18</v>
      </c>
      <c r="B104" s="1">
        <v>142</v>
      </c>
      <c r="C104" s="1">
        <v>20.7</v>
      </c>
      <c r="D104" s="3">
        <f>B104^4*CURVAS!$B$3+B104^3*CURVAS!$C$3+B104^2*CURVAS!$D$3+B104^1*CURVAS!$E$3+B104^0*CURVAS!$F$3</f>
        <v>20.904891087999999</v>
      </c>
    </row>
    <row r="105" spans="1:4" ht="15.75" x14ac:dyDescent="0.25">
      <c r="A105" s="20">
        <v>18</v>
      </c>
      <c r="B105" s="1">
        <v>143</v>
      </c>
      <c r="C105" s="1">
        <v>20.9</v>
      </c>
      <c r="D105" s="3">
        <f>B105^4*CURVAS!$B$3+B105^3*CURVAS!$C$3+B105^2*CURVAS!$D$3+B105^1*CURVAS!$E$3+B105^0*CURVAS!$F$3</f>
        <v>21.166650402999998</v>
      </c>
    </row>
    <row r="106" spans="1:4" ht="15.75" x14ac:dyDescent="0.25">
      <c r="A106" s="20">
        <v>18</v>
      </c>
      <c r="B106" s="1">
        <v>144</v>
      </c>
      <c r="C106" s="1">
        <v>21.6</v>
      </c>
      <c r="D106" s="3">
        <f>B106^4*CURVAS!$B$3+B106^3*CURVAS!$C$3+B106^2*CURVAS!$D$3+B106^1*CURVAS!$E$3+B106^0*CURVAS!$F$3</f>
        <v>21.430832288000001</v>
      </c>
    </row>
    <row r="107" spans="1:4" ht="15.75" x14ac:dyDescent="0.25">
      <c r="A107" s="20">
        <v>18</v>
      </c>
      <c r="B107" s="1">
        <v>145</v>
      </c>
      <c r="C107" s="1">
        <v>21.7</v>
      </c>
      <c r="D107" s="3">
        <f>B107^4*CURVAS!$B$3+B107^3*CURVAS!$C$3+B107^2*CURVAS!$D$3+B107^1*CURVAS!$E$3+B107^0*CURVAS!$F$3</f>
        <v>21.697451874999999</v>
      </c>
    </row>
    <row r="108" spans="1:4" ht="15.75" x14ac:dyDescent="0.25">
      <c r="A108" s="20">
        <v>18</v>
      </c>
      <c r="B108" s="1">
        <v>146</v>
      </c>
      <c r="C108" s="1">
        <v>21.8</v>
      </c>
      <c r="D108" s="3">
        <f>B108^4*CURVAS!$B$3+B108^3*CURVAS!$C$3+B108^2*CURVAS!$D$3+B108^1*CURVAS!$E$3+B108^0*CURVAS!$F$3</f>
        <v>21.966524367999998</v>
      </c>
    </row>
    <row r="109" spans="1:4" ht="15.75" x14ac:dyDescent="0.25">
      <c r="A109" s="20">
        <v>18</v>
      </c>
      <c r="B109" s="1">
        <v>147</v>
      </c>
      <c r="C109" s="1">
        <v>21.8</v>
      </c>
      <c r="D109" s="3">
        <f>B109^4*CURVAS!$B$3+B109^3*CURVAS!$C$3+B109^2*CURVAS!$D$3+B109^1*CURVAS!$E$3+B109^0*CURVAS!$F$3</f>
        <v>22.238065042999999</v>
      </c>
    </row>
    <row r="110" spans="1:4" ht="15.75" x14ac:dyDescent="0.25">
      <c r="A110" s="20">
        <v>18</v>
      </c>
      <c r="B110" s="1">
        <v>148</v>
      </c>
      <c r="C110" s="1">
        <v>22.6</v>
      </c>
      <c r="D110" s="3">
        <f>B110^4*CURVAS!$B$3+B110^3*CURVAS!$C$3+B110^2*CURVAS!$D$3+B110^1*CURVAS!$E$3+B110^0*CURVAS!$F$3</f>
        <v>22.512089247999999</v>
      </c>
    </row>
    <row r="111" spans="1:4" ht="15.75" x14ac:dyDescent="0.25">
      <c r="A111" s="20">
        <v>18</v>
      </c>
      <c r="B111" s="1">
        <v>149</v>
      </c>
      <c r="C111" s="1">
        <v>22.8</v>
      </c>
      <c r="D111" s="3">
        <f>B111^4*CURVAS!$B$3+B111^3*CURVAS!$C$3+B111^2*CURVAS!$D$3+B111^1*CURVAS!$E$3+B111^0*CURVAS!$F$3</f>
        <v>22.788612402999998</v>
      </c>
    </row>
    <row r="112" spans="1:4" ht="15.75" x14ac:dyDescent="0.25">
      <c r="A112" s="20">
        <v>18</v>
      </c>
      <c r="B112" s="1">
        <v>150</v>
      </c>
      <c r="C112" s="1">
        <v>23</v>
      </c>
      <c r="D112" s="3">
        <f>B112^4*CURVAS!$B$3+B112^3*CURVAS!$C$3+B112^2*CURVAS!$D$3+B112^1*CURVAS!$E$3+B112^0*CURVAS!$F$3</f>
        <v>23.06765</v>
      </c>
    </row>
    <row r="113" spans="1:4" ht="15.75" x14ac:dyDescent="0.25">
      <c r="A113" s="20">
        <v>18</v>
      </c>
      <c r="B113" s="1">
        <v>151</v>
      </c>
      <c r="C113" s="1">
        <v>23.1</v>
      </c>
      <c r="D113" s="3">
        <f>B113^4*CURVAS!$B$3+B113^3*CURVAS!$C$3+B113^2*CURVAS!$D$3+B113^1*CURVAS!$E$3+B113^0*CURVAS!$F$3</f>
        <v>23.349217603</v>
      </c>
    </row>
    <row r="114" spans="1:4" ht="15.75" x14ac:dyDescent="0.25">
      <c r="A114" s="20">
        <v>18</v>
      </c>
      <c r="B114" s="1">
        <v>152</v>
      </c>
      <c r="C114" s="1">
        <v>23.8</v>
      </c>
      <c r="D114" s="3">
        <f>B114^4*CURVAS!$B$3+B114^3*CURVAS!$C$3+B114^2*CURVAS!$D$3+B114^1*CURVAS!$E$3+B114^0*CURVAS!$F$3</f>
        <v>23.633330847999996</v>
      </c>
    </row>
    <row r="115" spans="1:4" ht="15.75" x14ac:dyDescent="0.25">
      <c r="A115" s="20">
        <v>18</v>
      </c>
      <c r="B115" s="1">
        <v>153</v>
      </c>
      <c r="C115" s="1">
        <v>23.9</v>
      </c>
      <c r="D115" s="3">
        <f>B115^4*CURVAS!$B$3+B115^3*CURVAS!$C$3+B115^2*CURVAS!$D$3+B115^1*CURVAS!$E$3+B115^0*CURVAS!$F$3</f>
        <v>23.920005442999997</v>
      </c>
    </row>
    <row r="116" spans="1:4" ht="15.75" x14ac:dyDescent="0.25">
      <c r="A116" s="20">
        <v>18</v>
      </c>
      <c r="B116" s="1">
        <v>154</v>
      </c>
      <c r="C116" s="1">
        <v>24.1</v>
      </c>
      <c r="D116" s="3">
        <f>B116^4*CURVAS!$B$3+B116^3*CURVAS!$C$3+B116^2*CURVAS!$D$3+B116^1*CURVAS!$E$3+B116^0*CURVAS!$F$3</f>
        <v>24.209257167999997</v>
      </c>
    </row>
    <row r="117" spans="1:4" ht="15.75" x14ac:dyDescent="0.25">
      <c r="A117" s="20">
        <v>18</v>
      </c>
      <c r="B117" s="1">
        <v>155</v>
      </c>
      <c r="C117" s="1">
        <v>24.3</v>
      </c>
      <c r="D117" s="3">
        <f>B117^4*CURVAS!$B$3+B117^3*CURVAS!$C$3+B117^2*CURVAS!$D$3+B117^1*CURVAS!$E$3+B117^0*CURVAS!$F$3</f>
        <v>24.501101875</v>
      </c>
    </row>
    <row r="118" spans="1:4" ht="15.75" x14ac:dyDescent="0.25">
      <c r="A118" s="20">
        <v>18</v>
      </c>
      <c r="B118" s="1">
        <v>156</v>
      </c>
      <c r="C118" s="1">
        <v>25</v>
      </c>
      <c r="D118" s="3">
        <f>B118^4*CURVAS!$B$3+B118^3*CURVAS!$C$3+B118^2*CURVAS!$D$3+B118^1*CURVAS!$E$3+B118^0*CURVAS!$F$3</f>
        <v>24.795555488000002</v>
      </c>
    </row>
    <row r="119" spans="1:4" ht="15.75" x14ac:dyDescent="0.25">
      <c r="A119" s="20">
        <v>18</v>
      </c>
      <c r="B119" s="1">
        <v>157</v>
      </c>
      <c r="C119" s="1">
        <v>25.1</v>
      </c>
      <c r="D119" s="3">
        <f>B119^4*CURVAS!$B$3+B119^3*CURVAS!$C$3+B119^2*CURVAS!$D$3+B119^1*CURVAS!$E$3+B119^0*CURVAS!$F$3</f>
        <v>25.092634003000001</v>
      </c>
    </row>
    <row r="120" spans="1:4" ht="15.75" x14ac:dyDescent="0.25">
      <c r="A120" s="20">
        <v>18</v>
      </c>
      <c r="B120" s="1">
        <v>158</v>
      </c>
      <c r="C120" s="1">
        <v>25.3</v>
      </c>
      <c r="D120" s="3">
        <f>B120^4*CURVAS!$B$3+B120^3*CURVAS!$C$3+B120^2*CURVAS!$D$3+B120^1*CURVAS!$E$3+B120^0*CURVAS!$F$3</f>
        <v>25.392353488000001</v>
      </c>
    </row>
    <row r="121" spans="1:4" ht="15.75" x14ac:dyDescent="0.25">
      <c r="A121" s="20">
        <v>18</v>
      </c>
      <c r="B121" s="1">
        <v>159</v>
      </c>
      <c r="C121" s="1">
        <v>25.4</v>
      </c>
      <c r="D121" s="3">
        <f>B121^4*CURVAS!$B$3+B121^3*CURVAS!$C$3+B121^2*CURVAS!$D$3+B121^1*CURVAS!$E$3+B121^0*CURVAS!$F$3</f>
        <v>25.694730083</v>
      </c>
    </row>
    <row r="122" spans="1:4" ht="15.75" x14ac:dyDescent="0.25">
      <c r="A122" s="20">
        <v>18</v>
      </c>
      <c r="B122" s="1">
        <v>160</v>
      </c>
      <c r="C122" s="1">
        <v>26.1</v>
      </c>
      <c r="D122" s="3">
        <f>B122^4*CURVAS!$B$3+B122^3*CURVAS!$C$3+B122^2*CURVAS!$D$3+B122^1*CURVAS!$E$3+B122^0*CURVAS!$F$3</f>
        <v>25.999779999999998</v>
      </c>
    </row>
    <row r="123" spans="1:4" ht="15.75" x14ac:dyDescent="0.25">
      <c r="A123" s="20">
        <v>18</v>
      </c>
      <c r="B123" s="1">
        <v>161</v>
      </c>
      <c r="C123" s="1">
        <v>26.3</v>
      </c>
      <c r="D123" s="3">
        <f>B123^4*CURVAS!$B$3+B123^3*CURVAS!$C$3+B123^2*CURVAS!$D$3+B123^1*CURVAS!$E$3+B123^0*CURVAS!$F$3</f>
        <v>26.307519523</v>
      </c>
    </row>
    <row r="124" spans="1:4" ht="15.75" x14ac:dyDescent="0.25">
      <c r="A124" s="20">
        <v>18</v>
      </c>
      <c r="B124" s="1">
        <v>162</v>
      </c>
      <c r="C124" s="1">
        <v>26.4</v>
      </c>
      <c r="D124" s="3">
        <f>B124^4*CURVAS!$B$3+B124^3*CURVAS!$C$3+B124^2*CURVAS!$D$3+B124^1*CURVAS!$E$3+B124^0*CURVAS!$F$3</f>
        <v>26.617965007999995</v>
      </c>
    </row>
    <row r="125" spans="1:4" ht="15.75" x14ac:dyDescent="0.25">
      <c r="A125" s="20">
        <v>18</v>
      </c>
      <c r="B125" s="1">
        <v>163</v>
      </c>
      <c r="C125" s="1">
        <v>26.6</v>
      </c>
      <c r="D125" s="3">
        <f>B125^4*CURVAS!$B$3+B125^3*CURVAS!$C$3+B125^2*CURVAS!$D$3+B125^1*CURVAS!$E$3+B125^0*CURVAS!$F$3</f>
        <v>26.931132883</v>
      </c>
    </row>
    <row r="126" spans="1:4" ht="15.75" x14ac:dyDescent="0.25">
      <c r="A126" s="20">
        <v>18</v>
      </c>
      <c r="B126" s="1">
        <v>164</v>
      </c>
      <c r="C126" s="1">
        <v>27.4</v>
      </c>
      <c r="D126" s="3">
        <f>B126^4*CURVAS!$B$3+B126^3*CURVAS!$C$3+B126^2*CURVAS!$D$3+B126^1*CURVAS!$E$3+B126^0*CURVAS!$F$3</f>
        <v>27.247039648000001</v>
      </c>
    </row>
    <row r="127" spans="1:4" ht="15.75" x14ac:dyDescent="0.25">
      <c r="A127" s="20">
        <v>18</v>
      </c>
      <c r="B127" s="1">
        <v>165</v>
      </c>
      <c r="C127" s="1">
        <v>27.6</v>
      </c>
      <c r="D127" s="3">
        <f>B127^4*CURVAS!$B$3+B127^3*CURVAS!$C$3+B127^2*CURVAS!$D$3+B127^1*CURVAS!$E$3+B127^0*CURVAS!$F$3</f>
        <v>27.565701875000002</v>
      </c>
    </row>
    <row r="128" spans="1:4" ht="15.75" x14ac:dyDescent="0.25">
      <c r="A128" s="20">
        <v>18</v>
      </c>
      <c r="B128" s="1">
        <v>166</v>
      </c>
      <c r="C128" s="1">
        <v>27.8</v>
      </c>
      <c r="D128" s="3">
        <f>B128^4*CURVAS!$B$3+B128^3*CURVAS!$C$3+B128^2*CURVAS!$D$3+B128^1*CURVAS!$E$3+B128^0*CURVAS!$F$3</f>
        <v>27.887136207999998</v>
      </c>
    </row>
    <row r="129" spans="1:4" ht="15.75" x14ac:dyDescent="0.25">
      <c r="A129" s="20">
        <v>18</v>
      </c>
      <c r="B129" s="1">
        <v>167</v>
      </c>
      <c r="C129" s="1">
        <v>28</v>
      </c>
      <c r="D129" s="3">
        <f>B129^4*CURVAS!$B$3+B129^3*CURVAS!$C$3+B129^2*CURVAS!$D$3+B129^1*CURVAS!$E$3+B129^0*CURVAS!$F$3</f>
        <v>28.211359363</v>
      </c>
    </row>
    <row r="130" spans="1:4" ht="15.75" x14ac:dyDescent="0.25">
      <c r="A130" s="20">
        <v>18</v>
      </c>
      <c r="B130" s="1">
        <v>168</v>
      </c>
      <c r="C130" s="1">
        <v>28.6</v>
      </c>
      <c r="D130" s="3">
        <f>B130^4*CURVAS!$B$3+B130^3*CURVAS!$C$3+B130^2*CURVAS!$D$3+B130^1*CURVAS!$E$3+B130^0*CURVAS!$F$3</f>
        <v>28.538388127999998</v>
      </c>
    </row>
    <row r="131" spans="1:4" ht="15.75" x14ac:dyDescent="0.25">
      <c r="A131" s="20">
        <v>18</v>
      </c>
      <c r="B131" s="1">
        <v>169</v>
      </c>
      <c r="C131" s="1">
        <v>28.9</v>
      </c>
      <c r="D131" s="3">
        <f>B131^4*CURVAS!$B$3+B131^3*CURVAS!$C$3+B131^2*CURVAS!$D$3+B131^1*CURVAS!$E$3+B131^0*CURVAS!$F$3</f>
        <v>28.868239363000001</v>
      </c>
    </row>
    <row r="132" spans="1:4" ht="15.75" x14ac:dyDescent="0.25">
      <c r="A132" s="20">
        <v>18</v>
      </c>
      <c r="B132" s="1">
        <v>170</v>
      </c>
      <c r="C132" s="1">
        <v>29.1</v>
      </c>
      <c r="D132" s="3">
        <f>B132^4*CURVAS!$B$3+B132^3*CURVAS!$C$3+B132^2*CURVAS!$D$3+B132^1*CURVAS!$E$3+B132^0*CURVAS!$F$3</f>
        <v>29.20093</v>
      </c>
    </row>
    <row r="133" spans="1:4" ht="15.75" x14ac:dyDescent="0.25">
      <c r="A133" s="20">
        <v>18</v>
      </c>
      <c r="B133" s="1">
        <v>171</v>
      </c>
      <c r="C133" s="1">
        <v>29.3</v>
      </c>
      <c r="D133" s="3">
        <f>B133^4*CURVAS!$B$3+B133^3*CURVAS!$C$3+B133^2*CURVAS!$D$3+B133^1*CURVAS!$E$3+B133^0*CURVAS!$F$3</f>
        <v>29.536477043000001</v>
      </c>
    </row>
    <row r="134" spans="1:4" ht="15.75" x14ac:dyDescent="0.25">
      <c r="A134" s="20">
        <v>18</v>
      </c>
      <c r="B134" s="1">
        <v>172</v>
      </c>
      <c r="C134" s="1">
        <v>30.1</v>
      </c>
      <c r="D134" s="3">
        <f>B134^4*CURVAS!$B$3+B134^3*CURVAS!$C$3+B134^2*CURVAS!$D$3+B134^1*CURVAS!$E$3+B134^0*CURVAS!$F$3</f>
        <v>29.874897567999998</v>
      </c>
    </row>
    <row r="135" spans="1:4" ht="15.75" x14ac:dyDescent="0.25">
      <c r="A135" s="20">
        <v>18</v>
      </c>
      <c r="B135" s="1">
        <v>173</v>
      </c>
      <c r="C135" s="1">
        <v>30.3</v>
      </c>
      <c r="D135" s="3">
        <f>B135^4*CURVAS!$B$3+B135^3*CURVAS!$C$3+B135^2*CURVAS!$D$3+B135^1*CURVAS!$E$3+B135^0*CURVAS!$F$3</f>
        <v>30.216208723000001</v>
      </c>
    </row>
    <row r="136" spans="1:4" ht="15.75" x14ac:dyDescent="0.25">
      <c r="A136" s="20">
        <v>18</v>
      </c>
      <c r="B136" s="1">
        <v>174</v>
      </c>
      <c r="C136" s="1">
        <v>30.4</v>
      </c>
      <c r="D136" s="3">
        <f>B136^4*CURVAS!$B$3+B136^3*CURVAS!$C$3+B136^2*CURVAS!$D$3+B136^1*CURVAS!$E$3+B136^0*CURVAS!$F$3</f>
        <v>30.560427727999997</v>
      </c>
    </row>
    <row r="137" spans="1:4" ht="15.75" x14ac:dyDescent="0.25">
      <c r="A137" s="20">
        <v>18</v>
      </c>
      <c r="B137" s="1">
        <v>175</v>
      </c>
      <c r="C137" s="1">
        <v>30.6</v>
      </c>
      <c r="D137" s="3">
        <f>B137^4*CURVAS!$B$3+B137^3*CURVAS!$C$3+B137^2*CURVAS!$D$3+B137^1*CURVAS!$E$3+B137^0*CURVAS!$F$3</f>
        <v>30.907571874999999</v>
      </c>
    </row>
    <row r="138" spans="1:4" ht="15.75" x14ac:dyDescent="0.25">
      <c r="A138" s="20">
        <v>18</v>
      </c>
      <c r="B138" s="1">
        <v>176</v>
      </c>
      <c r="C138" s="1">
        <v>31.5</v>
      </c>
      <c r="D138" s="3">
        <f>B138^4*CURVAS!$B$3+B138^3*CURVAS!$C$3+B138^2*CURVAS!$D$3+B138^1*CURVAS!$E$3+B138^0*CURVAS!$F$3</f>
        <v>31.257658527999997</v>
      </c>
    </row>
    <row r="139" spans="1:4" ht="15.75" x14ac:dyDescent="0.25">
      <c r="A139" s="20">
        <v>18</v>
      </c>
      <c r="B139" s="1">
        <v>177</v>
      </c>
      <c r="C139" s="1">
        <v>31.7</v>
      </c>
      <c r="D139" s="3">
        <f>B139^4*CURVAS!$B$3+B139^3*CURVAS!$C$3+B139^2*CURVAS!$D$3+B139^1*CURVAS!$E$3+B139^0*CURVAS!$F$3</f>
        <v>31.610705122999999</v>
      </c>
    </row>
    <row r="140" spans="1:4" ht="15.75" x14ac:dyDescent="0.25">
      <c r="A140" s="20">
        <v>18</v>
      </c>
      <c r="B140" s="1">
        <v>178</v>
      </c>
      <c r="C140" s="1">
        <v>31.9</v>
      </c>
      <c r="D140" s="3">
        <f>B140^4*CURVAS!$B$3+B140^3*CURVAS!$C$3+B140^2*CURVAS!$D$3+B140^1*CURVAS!$E$3+B140^0*CURVAS!$F$3</f>
        <v>31.966729167999997</v>
      </c>
    </row>
    <row r="141" spans="1:4" ht="15.75" x14ac:dyDescent="0.25">
      <c r="A141" s="20">
        <v>18</v>
      </c>
      <c r="B141" s="1">
        <v>179</v>
      </c>
      <c r="C141" s="1">
        <v>32</v>
      </c>
      <c r="D141" s="3">
        <f>B141^4*CURVAS!$B$3+B141^3*CURVAS!$C$3+B141^2*CURVAS!$D$3+B141^1*CURVAS!$E$3+B141^0*CURVAS!$F$3</f>
        <v>32.325748243000007</v>
      </c>
    </row>
    <row r="142" spans="1:4" ht="15.75" x14ac:dyDescent="0.25">
      <c r="A142" s="20">
        <v>18</v>
      </c>
      <c r="B142" s="1">
        <v>180</v>
      </c>
      <c r="C142" s="1">
        <v>32.9</v>
      </c>
      <c r="D142" s="3">
        <f>B142^4*CURVAS!$B$3+B142^3*CURVAS!$C$3+B142^2*CURVAS!$D$3+B142^1*CURVAS!$E$3+B142^0*CURVAS!$F$3</f>
        <v>32.687779999999997</v>
      </c>
    </row>
    <row r="143" spans="1:4" ht="15.75" x14ac:dyDescent="0.25">
      <c r="A143" s="20">
        <v>18</v>
      </c>
      <c r="B143" s="1">
        <v>181</v>
      </c>
      <c r="C143" s="1">
        <v>33.1</v>
      </c>
      <c r="D143" s="3">
        <f>B143^4*CURVAS!$B$3+B143^3*CURVAS!$C$3+B143^2*CURVAS!$D$3+B143^1*CURVAS!$E$3+B143^0*CURVAS!$F$3</f>
        <v>33.052842163000001</v>
      </c>
    </row>
    <row r="144" spans="1:4" ht="15.75" x14ac:dyDescent="0.25">
      <c r="A144" s="20">
        <v>18</v>
      </c>
      <c r="B144" s="1">
        <v>182</v>
      </c>
      <c r="C144" s="1">
        <v>33.200000000000003</v>
      </c>
      <c r="D144" s="3">
        <f>B144^4*CURVAS!$B$3+B144^3*CURVAS!$C$3+B144^2*CURVAS!$D$3+B144^1*CURVAS!$E$3+B144^0*CURVAS!$F$3</f>
        <v>33.420952528000001</v>
      </c>
    </row>
    <row r="145" spans="1:4" ht="15.75" x14ac:dyDescent="0.25">
      <c r="A145" s="20">
        <v>18</v>
      </c>
      <c r="B145" s="1">
        <v>183</v>
      </c>
      <c r="C145" s="1">
        <v>33.5</v>
      </c>
      <c r="D145" s="3">
        <f>B145^4*CURVAS!$B$3+B145^3*CURVAS!$C$3+B145^2*CURVAS!$D$3+B145^1*CURVAS!$E$3+B145^0*CURVAS!$F$3</f>
        <v>33.792128963000003</v>
      </c>
    </row>
    <row r="146" spans="1:4" ht="15.75" x14ac:dyDescent="0.25">
      <c r="A146" s="20">
        <v>18</v>
      </c>
      <c r="B146" s="1">
        <v>184</v>
      </c>
      <c r="C146" s="1">
        <v>34.4</v>
      </c>
      <c r="D146" s="3">
        <f>B146^4*CURVAS!$B$3+B146^3*CURVAS!$C$3+B146^2*CURVAS!$D$3+B146^1*CURVAS!$E$3+B146^0*CURVAS!$F$3</f>
        <v>34.166389408000001</v>
      </c>
    </row>
    <row r="147" spans="1:4" ht="15.75" x14ac:dyDescent="0.25">
      <c r="A147" s="20">
        <v>18</v>
      </c>
      <c r="B147" s="1">
        <v>185</v>
      </c>
      <c r="C147" s="1">
        <v>34.6</v>
      </c>
      <c r="D147" s="3">
        <f>B147^4*CURVAS!$B$3+B147^3*CURVAS!$C$3+B147^2*CURVAS!$D$3+B147^1*CURVAS!$E$3+B147^0*CURVAS!$F$3</f>
        <v>34.543751875000005</v>
      </c>
    </row>
    <row r="148" spans="1:4" ht="15.75" x14ac:dyDescent="0.25">
      <c r="A148" s="20">
        <v>18</v>
      </c>
      <c r="B148" s="1">
        <v>186</v>
      </c>
      <c r="C148" s="1">
        <v>34.799999999999997</v>
      </c>
      <c r="D148" s="3">
        <f>B148^4*CURVAS!$B$3+B148^3*CURVAS!$C$3+B148^2*CURVAS!$D$3+B148^1*CURVAS!$E$3+B148^0*CURVAS!$F$3</f>
        <v>34.924234448</v>
      </c>
    </row>
    <row r="149" spans="1:4" ht="15.75" x14ac:dyDescent="0.25">
      <c r="A149" s="20">
        <v>18</v>
      </c>
      <c r="B149" s="1">
        <v>187</v>
      </c>
      <c r="C149" s="1">
        <v>35</v>
      </c>
      <c r="D149" s="3">
        <f>B149^4*CURVAS!$B$3+B149^3*CURVAS!$C$3+B149^2*CURVAS!$D$3+B149^1*CURVAS!$E$3+B149^0*CURVAS!$F$3</f>
        <v>35.307855283000002</v>
      </c>
    </row>
    <row r="150" spans="1:4" ht="15.75" x14ac:dyDescent="0.25">
      <c r="A150" s="20">
        <v>18</v>
      </c>
      <c r="B150" s="1">
        <v>188</v>
      </c>
      <c r="C150" s="1">
        <v>35.9</v>
      </c>
      <c r="D150" s="3">
        <f>B150^4*CURVAS!$B$3+B150^3*CURVAS!$C$3+B150^2*CURVAS!$D$3+B150^1*CURVAS!$E$3+B150^0*CURVAS!$F$3</f>
        <v>35.694632607999999</v>
      </c>
    </row>
    <row r="151" spans="1:4" ht="15.75" x14ac:dyDescent="0.25">
      <c r="A151" s="20">
        <v>18</v>
      </c>
      <c r="B151" s="1">
        <v>189</v>
      </c>
      <c r="C151" s="1">
        <v>36.200000000000003</v>
      </c>
      <c r="D151" s="3">
        <f>B151^4*CURVAS!$B$3+B151^3*CURVAS!$C$3+B151^2*CURVAS!$D$3+B151^1*CURVAS!$E$3+B151^0*CURVAS!$F$3</f>
        <v>36.084584723000006</v>
      </c>
    </row>
    <row r="152" spans="1:4" ht="15.75" x14ac:dyDescent="0.25">
      <c r="A152" s="20">
        <v>18</v>
      </c>
      <c r="B152" s="1">
        <v>190</v>
      </c>
      <c r="C152" s="1">
        <v>36.4</v>
      </c>
      <c r="D152" s="3">
        <f>B152^4*CURVAS!$B$3+B152^3*CURVAS!$C$3+B152^2*CURVAS!$D$3+B152^1*CURVAS!$E$3+B152^0*CURVAS!$F$3</f>
        <v>36.477730000000001</v>
      </c>
    </row>
    <row r="153" spans="1:4" ht="15.75" x14ac:dyDescent="0.25">
      <c r="A153" s="20">
        <v>18</v>
      </c>
      <c r="B153" s="1">
        <v>191</v>
      </c>
      <c r="C153" s="1">
        <v>36.5</v>
      </c>
      <c r="D153" s="3">
        <f>B153^4*CURVAS!$B$3+B153^3*CURVAS!$C$3+B153^2*CURVAS!$D$3+B153^1*CURVAS!$E$3+B153^0*CURVAS!$F$3</f>
        <v>36.874086883000004</v>
      </c>
    </row>
    <row r="154" spans="1:4" ht="15.75" x14ac:dyDescent="0.25">
      <c r="A154" s="20">
        <v>18</v>
      </c>
      <c r="B154" s="1">
        <v>192</v>
      </c>
      <c r="C154" s="1">
        <v>37.5</v>
      </c>
      <c r="D154" s="3">
        <f>B154^4*CURVAS!$B$3+B154^3*CURVAS!$C$3+B154^2*CURVAS!$D$3+B154^1*CURVAS!$E$3+B154^0*CURVAS!$F$3</f>
        <v>37.273673888000005</v>
      </c>
    </row>
    <row r="155" spans="1:4" ht="15.75" x14ac:dyDescent="0.25">
      <c r="A155" s="20">
        <v>18</v>
      </c>
      <c r="B155" s="1">
        <v>193</v>
      </c>
      <c r="C155" s="1">
        <v>37.700000000000003</v>
      </c>
      <c r="D155" s="3">
        <f>B155^4*CURVAS!$B$3+B155^3*CURVAS!$C$3+B155^2*CURVAS!$D$3+B155^1*CURVAS!$E$3+B155^0*CURVAS!$F$3</f>
        <v>37.676509603000007</v>
      </c>
    </row>
    <row r="156" spans="1:4" ht="15.75" x14ac:dyDescent="0.25">
      <c r="A156" s="20">
        <v>18</v>
      </c>
      <c r="B156" s="1">
        <v>194</v>
      </c>
      <c r="C156" s="1">
        <v>37.9</v>
      </c>
      <c r="D156" s="3">
        <f>B156^4*CURVAS!$B$3+B156^3*CURVAS!$C$3+B156^2*CURVAS!$D$3+B156^1*CURVAS!$E$3+B156^0*CURVAS!$F$3</f>
        <v>38.082612688000005</v>
      </c>
    </row>
    <row r="157" spans="1:4" ht="15.75" x14ac:dyDescent="0.25">
      <c r="A157" s="20">
        <v>18</v>
      </c>
      <c r="B157" s="1">
        <v>195</v>
      </c>
      <c r="C157" s="1">
        <v>38.1</v>
      </c>
      <c r="D157" s="3">
        <f>B157^4*CURVAS!$B$3+B157^3*CURVAS!$C$3+B157^2*CURVAS!$D$3+B157^1*CURVAS!$E$3+B157^0*CURVAS!$F$3</f>
        <v>38.492001875</v>
      </c>
    </row>
    <row r="158" spans="1:4" ht="15.75" x14ac:dyDescent="0.25">
      <c r="A158" s="20">
        <v>18</v>
      </c>
      <c r="B158" s="1">
        <v>196</v>
      </c>
      <c r="C158" s="1">
        <v>39.200000000000003</v>
      </c>
      <c r="D158" s="3">
        <f>B158^4*CURVAS!$B$3+B158^3*CURVAS!$C$3+B158^2*CURVAS!$D$3+B158^1*CURVAS!$E$3+B158^0*CURVAS!$F$3</f>
        <v>38.904695968000006</v>
      </c>
    </row>
    <row r="159" spans="1:4" ht="15.75" x14ac:dyDescent="0.25">
      <c r="A159" s="20">
        <v>18</v>
      </c>
      <c r="B159" s="1">
        <v>197</v>
      </c>
      <c r="C159" s="1">
        <v>39.4</v>
      </c>
      <c r="D159" s="3">
        <f>B159^4*CURVAS!$B$3+B159^3*CURVAS!$C$3+B159^2*CURVAS!$D$3+B159^1*CURVAS!$E$3+B159^0*CURVAS!$F$3</f>
        <v>39.320713843</v>
      </c>
    </row>
    <row r="160" spans="1:4" ht="15.75" x14ac:dyDescent="0.25">
      <c r="A160" s="20">
        <v>18</v>
      </c>
      <c r="B160" s="1">
        <v>198</v>
      </c>
      <c r="C160" s="1">
        <v>39.700000000000003</v>
      </c>
      <c r="D160" s="3">
        <f>B160^4*CURVAS!$B$3+B160^3*CURVAS!$C$3+B160^2*CURVAS!$D$3+B160^1*CURVAS!$E$3+B160^0*CURVAS!$F$3</f>
        <v>39.740074448000001</v>
      </c>
    </row>
    <row r="161" spans="1:4" ht="15.75" x14ac:dyDescent="0.25">
      <c r="A161" s="20">
        <v>18</v>
      </c>
      <c r="B161" s="1">
        <v>199</v>
      </c>
      <c r="C161" s="1">
        <v>39.799999999999997</v>
      </c>
      <c r="D161" s="3">
        <f>B161^4*CURVAS!$B$3+B161^3*CURVAS!$C$3+B161^2*CURVAS!$D$3+B161^1*CURVAS!$E$3+B161^0*CURVAS!$F$3</f>
        <v>40.162796802999999</v>
      </c>
    </row>
    <row r="162" spans="1:4" ht="15.75" x14ac:dyDescent="0.25">
      <c r="A162" s="20">
        <v>18</v>
      </c>
      <c r="B162" s="1">
        <v>200</v>
      </c>
      <c r="C162" s="1">
        <v>41</v>
      </c>
      <c r="D162" s="3">
        <f>B162^4*CURVAS!$B$3+B162^3*CURVAS!$C$3+B162^2*CURVAS!$D$3+B162^1*CURVAS!$E$3+B162^0*CURVAS!$F$3</f>
        <v>40.588900000000002</v>
      </c>
    </row>
    <row r="163" spans="1:4" ht="15.75" x14ac:dyDescent="0.25">
      <c r="A163" s="20">
        <v>18</v>
      </c>
      <c r="B163" s="1">
        <v>201</v>
      </c>
      <c r="C163" s="1">
        <v>41.3</v>
      </c>
      <c r="D163" s="3">
        <f>B163^4*CURVAS!$B$3+B163^3*CURVAS!$C$3+B163^2*CURVAS!$D$3+B163^1*CURVAS!$E$3+B163^0*CURVAS!$F$3</f>
        <v>41.018403203000005</v>
      </c>
    </row>
    <row r="164" spans="1:4" ht="15.75" x14ac:dyDescent="0.25">
      <c r="A164" s="20">
        <v>18</v>
      </c>
      <c r="B164" s="1">
        <v>202</v>
      </c>
      <c r="C164" s="1">
        <v>41.4</v>
      </c>
      <c r="D164" s="3">
        <f>B164^4*CURVAS!$B$3+B164^3*CURVAS!$C$3+B164^2*CURVAS!$D$3+B164^1*CURVAS!$E$3+B164^0*CURVAS!$F$3</f>
        <v>41.451325648000001</v>
      </c>
    </row>
    <row r="165" spans="1:4" ht="15.75" x14ac:dyDescent="0.25">
      <c r="A165" s="20">
        <v>18</v>
      </c>
      <c r="B165" s="1">
        <v>203</v>
      </c>
      <c r="C165" s="1">
        <v>41.6</v>
      </c>
      <c r="D165" s="3">
        <f>B165^4*CURVAS!$B$3+B165^3*CURVAS!$C$3+B165^2*CURVAS!$D$3+B165^1*CURVAS!$E$3+B165^0*CURVAS!$F$3</f>
        <v>41.887686643000009</v>
      </c>
    </row>
    <row r="166" spans="1:4" ht="15.75" x14ac:dyDescent="0.25">
      <c r="A166" s="20">
        <v>18</v>
      </c>
      <c r="B166" s="1">
        <v>204</v>
      </c>
      <c r="C166" s="1">
        <v>42.6</v>
      </c>
      <c r="D166" s="3">
        <f>B166^4*CURVAS!$B$3+B166^3*CURVAS!$C$3+B166^2*CURVAS!$D$3+B166^1*CURVAS!$E$3+B166^0*CURVAS!$F$3</f>
        <v>42.327505567999999</v>
      </c>
    </row>
    <row r="167" spans="1:4" ht="15.75" x14ac:dyDescent="0.25">
      <c r="A167" s="20">
        <v>18</v>
      </c>
      <c r="B167" s="1">
        <v>205</v>
      </c>
      <c r="C167" s="1">
        <v>42.9</v>
      </c>
      <c r="D167" s="3">
        <f>B167^4*CURVAS!$B$3+B167^3*CURVAS!$C$3+B167^2*CURVAS!$D$3+B167^1*CURVAS!$E$3+B167^0*CURVAS!$F$3</f>
        <v>42.770801874999997</v>
      </c>
    </row>
    <row r="168" spans="1:4" ht="15.75" x14ac:dyDescent="0.25">
      <c r="A168" s="20">
        <v>18</v>
      </c>
      <c r="B168" s="1">
        <v>206</v>
      </c>
      <c r="C168" s="1">
        <v>43.1</v>
      </c>
      <c r="D168" s="3">
        <f>B168^4*CURVAS!$B$3+B168^3*CURVAS!$C$3+B168^2*CURVAS!$D$3+B168^1*CURVAS!$E$3+B168^0*CURVAS!$F$3</f>
        <v>43.217595088000003</v>
      </c>
    </row>
    <row r="169" spans="1:4" ht="15.75" x14ac:dyDescent="0.25">
      <c r="A169" s="20">
        <v>18</v>
      </c>
      <c r="B169" s="1">
        <v>207</v>
      </c>
      <c r="C169" s="1">
        <v>43.3</v>
      </c>
      <c r="D169" s="3">
        <f>B169^4*CURVAS!$B$3+B169^3*CURVAS!$C$3+B169^2*CURVAS!$D$3+B169^1*CURVAS!$E$3+B169^0*CURVAS!$F$3</f>
        <v>43.667904803000006</v>
      </c>
    </row>
    <row r="170" spans="1:4" ht="15.75" x14ac:dyDescent="0.25">
      <c r="A170" s="20">
        <v>18</v>
      </c>
      <c r="B170" s="1">
        <v>208</v>
      </c>
      <c r="C170" s="1">
        <v>44.5</v>
      </c>
      <c r="D170" s="3">
        <f>B170^4*CURVAS!$B$3+B170^3*CURVAS!$C$3+B170^2*CURVAS!$D$3+B170^1*CURVAS!$E$3+B170^0*CURVAS!$F$3</f>
        <v>44.121750687999999</v>
      </c>
    </row>
    <row r="171" spans="1:4" ht="15.75" x14ac:dyDescent="0.25">
      <c r="A171" s="20">
        <v>18</v>
      </c>
      <c r="B171" s="1">
        <v>209</v>
      </c>
      <c r="C171" s="1">
        <v>44.7</v>
      </c>
      <c r="D171" s="3">
        <f>B171^4*CURVAS!$B$3+B171^3*CURVAS!$C$3+B171^2*CURVAS!$D$3+B171^1*CURVAS!$E$3+B171^0*CURVAS!$F$3</f>
        <v>44.579152483000001</v>
      </c>
    </row>
    <row r="172" spans="1:4" ht="15.75" x14ac:dyDescent="0.25">
      <c r="A172" s="20">
        <v>18</v>
      </c>
      <c r="B172" s="1">
        <v>210</v>
      </c>
      <c r="C172" s="1">
        <v>44.9</v>
      </c>
      <c r="D172" s="3">
        <f>B172^4*CURVAS!$B$3+B172^3*CURVAS!$C$3+B172^2*CURVAS!$D$3+B172^1*CURVAS!$E$3+B172^0*CURVAS!$F$3</f>
        <v>45.040130000000005</v>
      </c>
    </row>
    <row r="173" spans="1:4" ht="15.75" x14ac:dyDescent="0.25">
      <c r="A173" s="20">
        <v>18</v>
      </c>
      <c r="B173" s="1">
        <v>211</v>
      </c>
      <c r="C173" s="1">
        <v>45.1</v>
      </c>
      <c r="D173" s="3">
        <f>B173^4*CURVAS!$B$3+B173^3*CURVAS!$C$3+B173^2*CURVAS!$D$3+B173^1*CURVAS!$E$3+B173^0*CURVAS!$F$3</f>
        <v>45.504703123000006</v>
      </c>
    </row>
    <row r="174" spans="1:4" ht="15.75" x14ac:dyDescent="0.25">
      <c r="A174" s="20">
        <v>18</v>
      </c>
      <c r="B174" s="1">
        <v>212</v>
      </c>
      <c r="C174" s="1">
        <v>46.3</v>
      </c>
      <c r="D174" s="3">
        <f>B174^4*CURVAS!$B$3+B174^3*CURVAS!$C$3+B174^2*CURVAS!$D$3+B174^1*CURVAS!$E$3+B174^0*CURVAS!$F$3</f>
        <v>45.972891808</v>
      </c>
    </row>
    <row r="175" spans="1:4" ht="15.75" x14ac:dyDescent="0.25">
      <c r="A175" s="20">
        <v>18</v>
      </c>
      <c r="B175" s="1">
        <v>213</v>
      </c>
      <c r="C175" s="1">
        <v>46.6</v>
      </c>
      <c r="D175" s="3">
        <f>B175^4*CURVAS!$B$3+B175^3*CURVAS!$C$3+B175^2*CURVAS!$D$3+B175^1*CURVAS!$E$3+B175^0*CURVAS!$F$3</f>
        <v>46.444716083000003</v>
      </c>
    </row>
    <row r="176" spans="1:4" ht="15.75" x14ac:dyDescent="0.25">
      <c r="A176" s="20">
        <v>18</v>
      </c>
      <c r="B176" s="1">
        <v>214</v>
      </c>
      <c r="C176" s="1">
        <v>46.9</v>
      </c>
      <c r="D176" s="3">
        <f>B176^4*CURVAS!$B$3+B176^3*CURVAS!$C$3+B176^2*CURVAS!$D$3+B176^1*CURVAS!$E$3+B176^0*CURVAS!$F$3</f>
        <v>46.920196048000001</v>
      </c>
    </row>
    <row r="177" spans="1:4" ht="15.75" x14ac:dyDescent="0.25">
      <c r="A177" s="20">
        <v>18</v>
      </c>
      <c r="B177" s="1">
        <v>215</v>
      </c>
      <c r="C177" s="1">
        <v>47.1</v>
      </c>
      <c r="D177" s="3">
        <f>B177^4*CURVAS!$B$3+B177^3*CURVAS!$C$3+B177^2*CURVAS!$D$3+B177^1*CURVAS!$E$3+B177^0*CURVAS!$F$3</f>
        <v>47.399351875000008</v>
      </c>
    </row>
    <row r="178" spans="1:4" ht="15.75" x14ac:dyDescent="0.25">
      <c r="A178" s="20">
        <v>18</v>
      </c>
      <c r="B178" s="1">
        <v>216</v>
      </c>
      <c r="C178" s="1">
        <v>48.3</v>
      </c>
      <c r="D178" s="3">
        <f>B178^4*CURVAS!$B$3+B178^3*CURVAS!$C$3+B178^2*CURVAS!$D$3+B178^1*CURVAS!$E$3+B178^0*CURVAS!$F$3</f>
        <v>47.882203808</v>
      </c>
    </row>
    <row r="179" spans="1:4" ht="15.75" x14ac:dyDescent="0.25">
      <c r="A179" s="20">
        <v>18</v>
      </c>
      <c r="B179" s="1">
        <v>217</v>
      </c>
      <c r="C179" s="1">
        <v>48.5</v>
      </c>
      <c r="D179" s="3">
        <f>B179^4*CURVAS!$B$3+B179^3*CURVAS!$C$3+B179^2*CURVAS!$D$3+B179^1*CURVAS!$E$3+B179^0*CURVAS!$F$3</f>
        <v>48.368772163000003</v>
      </c>
    </row>
    <row r="180" spans="1:4" ht="15.75" x14ac:dyDescent="0.25">
      <c r="A180" s="20">
        <v>18</v>
      </c>
      <c r="B180" s="1">
        <v>218</v>
      </c>
      <c r="C180" s="1">
        <v>48.7</v>
      </c>
      <c r="D180" s="3">
        <f>B180^4*CURVAS!$B$3+B180^3*CURVAS!$C$3+B180^2*CURVAS!$D$3+B180^1*CURVAS!$E$3+B180^0*CURVAS!$F$3</f>
        <v>48.859077328000005</v>
      </c>
    </row>
    <row r="181" spans="1:4" ht="15.75" x14ac:dyDescent="0.25">
      <c r="A181" s="20">
        <v>18</v>
      </c>
      <c r="B181" s="1">
        <v>219</v>
      </c>
      <c r="C181" s="1">
        <v>49</v>
      </c>
      <c r="D181" s="3">
        <f>B181^4*CURVAS!$B$3+B181^3*CURVAS!$C$3+B181^2*CURVAS!$D$3+B181^1*CURVAS!$E$3+B181^0*CURVAS!$F$3</f>
        <v>49.353139762999994</v>
      </c>
    </row>
    <row r="182" spans="1:4" ht="15.75" x14ac:dyDescent="0.25">
      <c r="A182" s="20">
        <v>18</v>
      </c>
      <c r="B182" s="1">
        <v>220</v>
      </c>
      <c r="C182" s="1">
        <v>50.2</v>
      </c>
      <c r="D182" s="3">
        <f>B182^4*CURVAS!$B$3+B182^3*CURVAS!$C$3+B182^2*CURVAS!$D$3+B182^1*CURVAS!$E$3+B182^0*CURVAS!$F$3</f>
        <v>49.85098</v>
      </c>
    </row>
    <row r="183" spans="1:4" ht="15.75" x14ac:dyDescent="0.25">
      <c r="A183" s="20">
        <v>18</v>
      </c>
      <c r="B183" s="1">
        <v>221</v>
      </c>
      <c r="C183" s="1">
        <v>50.6</v>
      </c>
      <c r="D183" s="3">
        <f>B183^4*CURVAS!$B$3+B183^3*CURVAS!$C$3+B183^2*CURVAS!$D$3+B183^1*CURVAS!$E$3+B183^0*CURVAS!$F$3</f>
        <v>50.352618643000007</v>
      </c>
    </row>
    <row r="184" spans="1:4" ht="15.75" x14ac:dyDescent="0.25">
      <c r="A184" s="20">
        <v>18</v>
      </c>
      <c r="B184" s="1">
        <v>222</v>
      </c>
      <c r="C184" s="1">
        <v>51</v>
      </c>
      <c r="D184" s="3">
        <f>B184^4*CURVAS!$B$3+B184^3*CURVAS!$C$3+B184^2*CURVAS!$D$3+B184^1*CURVAS!$E$3+B184^0*CURVAS!$F$3</f>
        <v>50.858076367999999</v>
      </c>
    </row>
    <row r="185" spans="1:4" ht="15.75" x14ac:dyDescent="0.25">
      <c r="A185" s="20">
        <v>18</v>
      </c>
      <c r="B185" s="1">
        <v>223</v>
      </c>
      <c r="C185" s="1">
        <v>51.6</v>
      </c>
      <c r="D185" s="3">
        <f>B185^4*CURVAS!$B$3+B185^3*CURVAS!$C$3+B185^2*CURVAS!$D$3+B185^1*CURVAS!$E$3+B185^0*CURVAS!$F$3</f>
        <v>51.367373923000009</v>
      </c>
    </row>
    <row r="186" spans="1:4" ht="15.75" x14ac:dyDescent="0.25">
      <c r="A186" s="20">
        <v>18</v>
      </c>
      <c r="B186" s="1">
        <v>224</v>
      </c>
      <c r="C186" s="1">
        <v>52</v>
      </c>
      <c r="D186" s="3">
        <f>B186^4*CURVAS!$B$3+B186^3*CURVAS!$C$3+B186^2*CURVAS!$D$3+B186^1*CURVAS!$E$3+B186^0*CURVAS!$F$3</f>
        <v>51.880532128000006</v>
      </c>
    </row>
    <row r="187" spans="1:4" ht="15.75" x14ac:dyDescent="0.25">
      <c r="A187" s="20">
        <v>18</v>
      </c>
      <c r="B187" s="1">
        <v>225</v>
      </c>
      <c r="C187" s="1">
        <v>52.6</v>
      </c>
      <c r="D187" s="3">
        <f>B187^4*CURVAS!$B$3+B187^3*CURVAS!$C$3+B187^2*CURVAS!$D$3+B187^1*CURVAS!$E$3+B187^0*CURVAS!$F$3</f>
        <v>52.397571874999997</v>
      </c>
    </row>
    <row r="188" spans="1:4" ht="15.75" x14ac:dyDescent="0.25">
      <c r="A188" s="20">
        <v>18</v>
      </c>
      <c r="B188" s="1">
        <v>226</v>
      </c>
      <c r="C188" s="1">
        <v>52.9</v>
      </c>
      <c r="D188" s="3">
        <f>B188^4*CURVAS!$B$3+B188^3*CURVAS!$C$3+B188^2*CURVAS!$D$3+B188^1*CURVAS!$E$3+B188^0*CURVAS!$F$3</f>
        <v>52.918514128000005</v>
      </c>
    </row>
    <row r="189" spans="1:4" ht="15.75" x14ac:dyDescent="0.25">
      <c r="A189" s="20">
        <v>18</v>
      </c>
      <c r="B189" s="1">
        <v>227</v>
      </c>
      <c r="C189" s="1">
        <v>53.2</v>
      </c>
      <c r="D189" s="3">
        <f>B189^4*CURVAS!$B$3+B189^3*CURVAS!$C$3+B189^2*CURVAS!$D$3+B189^1*CURVAS!$E$3+B189^0*CURVAS!$F$3</f>
        <v>53.443379923000002</v>
      </c>
    </row>
    <row r="190" spans="1:4" ht="15.75" x14ac:dyDescent="0.25">
      <c r="A190" s="20">
        <v>18</v>
      </c>
      <c r="B190" s="1">
        <v>228</v>
      </c>
      <c r="C190" s="1">
        <v>54.6</v>
      </c>
      <c r="D190" s="3">
        <f>B190^4*CURVAS!$B$3+B190^3*CURVAS!$C$3+B190^2*CURVAS!$D$3+B190^1*CURVAS!$E$3+B190^0*CURVAS!$F$3</f>
        <v>53.972190368</v>
      </c>
    </row>
    <row r="191" spans="1:4" ht="15.75" x14ac:dyDescent="0.25">
      <c r="A191" s="20">
        <v>18</v>
      </c>
      <c r="B191" s="1">
        <v>229</v>
      </c>
      <c r="C191" s="1">
        <v>54.9</v>
      </c>
      <c r="D191" s="3">
        <f>B191^4*CURVAS!$B$3+B191^3*CURVAS!$C$3+B191^2*CURVAS!$D$3+B191^1*CURVAS!$E$3+B191^0*CURVAS!$F$3</f>
        <v>54.504966643000003</v>
      </c>
    </row>
    <row r="192" spans="1:4" ht="15.75" x14ac:dyDescent="0.25">
      <c r="A192" s="20">
        <v>18</v>
      </c>
      <c r="B192" s="1">
        <v>230</v>
      </c>
      <c r="C192" s="1">
        <v>55.2</v>
      </c>
      <c r="D192" s="3">
        <f>B192^4*CURVAS!$B$3+B192^3*CURVAS!$C$3+B192^2*CURVAS!$D$3+B192^1*CURVAS!$E$3+B192^0*CURVAS!$F$3</f>
        <v>55.041730000000001</v>
      </c>
    </row>
    <row r="193" spans="1:4" ht="15.75" x14ac:dyDescent="0.25">
      <c r="A193" s="20">
        <v>18</v>
      </c>
      <c r="B193" s="1">
        <v>231</v>
      </c>
      <c r="C193" s="1">
        <v>55.3</v>
      </c>
      <c r="D193" s="3">
        <f>B193^4*CURVAS!$B$3+B193^3*CURVAS!$C$3+B193^2*CURVAS!$D$3+B193^1*CURVAS!$E$3+B193^0*CURVAS!$F$3</f>
        <v>55.582501763000003</v>
      </c>
    </row>
    <row r="194" spans="1:4" ht="15.75" x14ac:dyDescent="0.25">
      <c r="A194" s="20">
        <v>18</v>
      </c>
      <c r="B194" s="1">
        <v>232</v>
      </c>
      <c r="C194" s="1">
        <v>56.7</v>
      </c>
      <c r="D194" s="3">
        <f>B194^4*CURVAS!$B$3+B194^3*CURVAS!$C$3+B194^2*CURVAS!$D$3+B194^1*CURVAS!$E$3+B194^0*CURVAS!$F$3</f>
        <v>56.127303328000004</v>
      </c>
    </row>
    <row r="195" spans="1:4" ht="15.75" x14ac:dyDescent="0.25">
      <c r="A195" s="20">
        <v>18</v>
      </c>
      <c r="B195" s="1">
        <v>233</v>
      </c>
      <c r="C195" s="1">
        <v>56.8</v>
      </c>
      <c r="D195" s="3">
        <f>B195^4*CURVAS!$B$3+B195^3*CURVAS!$C$3+B195^2*CURVAS!$D$3+B195^1*CURVAS!$E$3+B195^0*CURVAS!$F$3</f>
        <v>56.676156163000002</v>
      </c>
    </row>
    <row r="196" spans="1:4" ht="15.75" x14ac:dyDescent="0.25">
      <c r="A196" s="20">
        <v>18</v>
      </c>
      <c r="B196" s="1">
        <v>234</v>
      </c>
      <c r="C196" s="1">
        <v>57.3</v>
      </c>
      <c r="D196" s="3">
        <f>B196^4*CURVAS!$B$3+B196^3*CURVAS!$C$3+B196^2*CURVAS!$D$3+B196^1*CURVAS!$E$3+B196^0*CURVAS!$F$3</f>
        <v>57.229081808000004</v>
      </c>
    </row>
    <row r="197" spans="1:4" ht="15.75" x14ac:dyDescent="0.25">
      <c r="A197" s="20">
        <v>18</v>
      </c>
      <c r="B197" s="1">
        <v>235</v>
      </c>
      <c r="C197" s="1">
        <v>57.6</v>
      </c>
      <c r="D197" s="3">
        <f>B197^4*CURVAS!$B$3+B197^3*CURVAS!$C$3+B197^2*CURVAS!$D$3+B197^1*CURVAS!$E$3+B197^0*CURVAS!$F$3</f>
        <v>57.786101875000007</v>
      </c>
    </row>
    <row r="198" spans="1:4" ht="15.75" x14ac:dyDescent="0.25">
      <c r="A198" s="20">
        <v>18</v>
      </c>
      <c r="B198" s="1">
        <v>236</v>
      </c>
      <c r="C198" s="1">
        <v>59</v>
      </c>
      <c r="D198" s="3">
        <f>B198^4*CURVAS!$B$3+B198^3*CURVAS!$C$3+B198^2*CURVAS!$D$3+B198^1*CURVAS!$E$3+B198^0*CURVAS!$F$3</f>
        <v>58.347238048000001</v>
      </c>
    </row>
    <row r="199" spans="1:4" ht="15.75" x14ac:dyDescent="0.25">
      <c r="A199" s="20">
        <v>18</v>
      </c>
      <c r="B199" s="1">
        <v>237</v>
      </c>
      <c r="C199" s="1">
        <v>59.2</v>
      </c>
      <c r="D199" s="3">
        <f>B199^4*CURVAS!$B$3+B199^3*CURVAS!$C$3+B199^2*CURVAS!$D$3+B199^1*CURVAS!$E$3+B199^0*CURVAS!$F$3</f>
        <v>58.912512083000003</v>
      </c>
    </row>
    <row r="200" spans="1:4" ht="15.75" x14ac:dyDescent="0.25">
      <c r="A200" s="20">
        <v>18</v>
      </c>
      <c r="B200" s="1">
        <v>238</v>
      </c>
      <c r="C200" s="1">
        <v>59.5</v>
      </c>
      <c r="D200" s="3">
        <f>B200^4*CURVAS!$B$3+B200^3*CURVAS!$C$3+B200^2*CURVAS!$D$3+B200^1*CURVAS!$E$3+B200^0*CURVAS!$F$3</f>
        <v>59.481945808000006</v>
      </c>
    </row>
    <row r="201" spans="1:4" ht="15.75" x14ac:dyDescent="0.25">
      <c r="A201" s="20">
        <v>18</v>
      </c>
      <c r="B201" s="1">
        <v>239</v>
      </c>
      <c r="C201" s="1">
        <v>59.8</v>
      </c>
      <c r="D201" s="3">
        <f>B201^4*CURVAS!$B$3+B201^3*CURVAS!$C$3+B201^2*CURVAS!$D$3+B201^1*CURVAS!$E$3+B201^0*CURVAS!$F$3</f>
        <v>60.055561123000011</v>
      </c>
    </row>
    <row r="202" spans="1:4" ht="15.75" x14ac:dyDescent="0.25">
      <c r="A202" s="20">
        <v>18</v>
      </c>
      <c r="B202" s="1">
        <v>240</v>
      </c>
      <c r="C202" s="1">
        <v>61.2</v>
      </c>
      <c r="D202" s="3">
        <f>B202^4*CURVAS!$B$3+B202^3*CURVAS!$C$3+B202^2*CURVAS!$D$3+B202^1*CURVAS!$E$3+B202^0*CURVAS!$F$3</f>
        <v>60.633379999999995</v>
      </c>
    </row>
    <row r="203" spans="1:4" ht="15.75" x14ac:dyDescent="0.25">
      <c r="A203" s="20">
        <v>18</v>
      </c>
      <c r="B203" s="1">
        <v>241</v>
      </c>
      <c r="C203" s="1">
        <v>61.5</v>
      </c>
      <c r="D203" s="3">
        <f>B203^4*CURVAS!$B$3+B203^3*CURVAS!$C$3+B203^2*CURVAS!$D$3+B203^1*CURVAS!$E$3+B203^0*CURVAS!$F$3</f>
        <v>61.215424483000007</v>
      </c>
    </row>
    <row r="204" spans="1:4" ht="15.75" x14ac:dyDescent="0.25">
      <c r="A204" s="20">
        <v>18</v>
      </c>
      <c r="B204" s="1">
        <v>242</v>
      </c>
      <c r="C204" s="1">
        <v>61.8</v>
      </c>
      <c r="D204" s="3">
        <f>B204^4*CURVAS!$B$3+B204^3*CURVAS!$C$3+B204^2*CURVAS!$D$3+B204^1*CURVAS!$E$3+B204^0*CURVAS!$F$3</f>
        <v>61.801716688000006</v>
      </c>
    </row>
    <row r="205" spans="1:4" ht="15.75" x14ac:dyDescent="0.25">
      <c r="A205" s="20">
        <v>18</v>
      </c>
      <c r="B205" s="1">
        <v>243</v>
      </c>
      <c r="C205" s="1">
        <v>62</v>
      </c>
      <c r="D205" s="3">
        <f>B205^4*CURVAS!$B$3+B205^3*CURVAS!$C$3+B205^2*CURVAS!$D$3+B205^1*CURVAS!$E$3+B205^0*CURVAS!$F$3</f>
        <v>62.392278803000004</v>
      </c>
    </row>
    <row r="206" spans="1:4" ht="15.75" x14ac:dyDescent="0.25">
      <c r="A206" s="20">
        <v>18</v>
      </c>
      <c r="B206" s="1">
        <v>244</v>
      </c>
      <c r="C206" s="1">
        <v>63.6</v>
      </c>
      <c r="D206" s="3">
        <f>B206^4*CURVAS!$B$3+B206^3*CURVAS!$C$3+B206^2*CURVAS!$D$3+B206^1*CURVAS!$E$3+B206^0*CURVAS!$F$3</f>
        <v>62.987133088</v>
      </c>
    </row>
    <row r="207" spans="1:4" ht="15.75" x14ac:dyDescent="0.25">
      <c r="A207" s="20">
        <v>18</v>
      </c>
      <c r="B207" s="1">
        <v>245</v>
      </c>
      <c r="C207" s="1">
        <v>64</v>
      </c>
      <c r="D207" s="3">
        <f>B207^4*CURVAS!$B$3+B207^3*CURVAS!$C$3+B207^2*CURVAS!$D$3+B207^1*CURVAS!$E$3+B207^0*CURVAS!$F$3</f>
        <v>63.586301874999997</v>
      </c>
    </row>
    <row r="208" spans="1:4" ht="15.75" x14ac:dyDescent="0.25">
      <c r="A208" s="20">
        <v>18</v>
      </c>
      <c r="B208" s="1">
        <v>246</v>
      </c>
      <c r="C208" s="1">
        <v>64.3</v>
      </c>
      <c r="D208" s="3">
        <f>B208^4*CURVAS!$B$3+B208^3*CURVAS!$C$3+B208^2*CURVAS!$D$3+B208^1*CURVAS!$E$3+B208^0*CURVAS!$F$3</f>
        <v>64.189807567999992</v>
      </c>
    </row>
    <row r="209" spans="1:4" ht="15.75" x14ac:dyDescent="0.25">
      <c r="A209" s="20">
        <v>18</v>
      </c>
      <c r="B209" s="1">
        <v>247</v>
      </c>
      <c r="C209" s="1">
        <v>64.5</v>
      </c>
      <c r="D209" s="3">
        <f>B209^4*CURVAS!$B$3+B209^3*CURVAS!$C$3+B209^2*CURVAS!$D$3+B209^1*CURVAS!$E$3+B209^0*CURVAS!$F$3</f>
        <v>64.797672642999999</v>
      </c>
    </row>
    <row r="210" spans="1:4" ht="15.75" x14ac:dyDescent="0.25">
      <c r="A210" s="20">
        <v>18</v>
      </c>
      <c r="B210" s="1">
        <v>248</v>
      </c>
      <c r="C210" s="1">
        <v>66</v>
      </c>
      <c r="D210" s="3">
        <f>B210^4*CURVAS!$B$3+B210^3*CURVAS!$C$3+B210^2*CURVAS!$D$3+B210^1*CURVAS!$E$3+B210^0*CURVAS!$F$3</f>
        <v>65.409919647999999</v>
      </c>
    </row>
    <row r="211" spans="1:4" ht="15.75" x14ac:dyDescent="0.25">
      <c r="A211" s="20">
        <v>18</v>
      </c>
      <c r="B211" s="1">
        <v>249</v>
      </c>
      <c r="C211" s="1">
        <v>66.3</v>
      </c>
      <c r="D211" s="3">
        <f>B211^4*CURVAS!$B$3+B211^3*CURVAS!$C$3+B211^2*CURVAS!$D$3+B211^1*CURVAS!$E$3+B211^0*CURVAS!$F$3</f>
        <v>66.026571203000003</v>
      </c>
    </row>
    <row r="212" spans="1:4" ht="15.75" x14ac:dyDescent="0.25">
      <c r="A212" s="20">
        <v>18</v>
      </c>
      <c r="B212" s="1">
        <v>250</v>
      </c>
      <c r="C212" s="1">
        <v>67</v>
      </c>
      <c r="D212" s="3">
        <f>B212^4*CURVAS!$B$3+B212^3*CURVAS!$C$3+B212^2*CURVAS!$D$3+B212^1*CURVAS!$E$3+B212^0*CURVAS!$F$3</f>
        <v>66.647649999999999</v>
      </c>
    </row>
    <row r="213" spans="1:4" ht="15.75" x14ac:dyDescent="0.25">
      <c r="A213" s="1">
        <v>19</v>
      </c>
      <c r="B213" s="1">
        <v>40</v>
      </c>
      <c r="C213" s="1">
        <v>3.63</v>
      </c>
      <c r="D213" s="3">
        <f>B2^4*CURVAS!$B$4+B2^3*CURVAS!$C$4+B2^2*CURVAS!$D$4+B2^1*CURVAS!$E$4+B2^0*CURVAS!$F$4</f>
        <v>3.5805400000000001</v>
      </c>
    </row>
    <row r="214" spans="1:4" ht="15.75" x14ac:dyDescent="0.25">
      <c r="A214" s="1">
        <v>19</v>
      </c>
      <c r="B214" s="1">
        <v>41</v>
      </c>
      <c r="C214" s="1">
        <v>3.66</v>
      </c>
      <c r="D214" s="3">
        <f>B3^4*CURVAS!$B$4+B3^3*CURVAS!$C$4+B3^2*CURVAS!$D$4+B3^1*CURVAS!$E$4+B3^0*CURVAS!$F$4</f>
        <v>3.6468714440000003</v>
      </c>
    </row>
    <row r="215" spans="1:4" ht="15.75" x14ac:dyDescent="0.25">
      <c r="A215" s="1">
        <v>19</v>
      </c>
      <c r="B215" s="1">
        <v>42</v>
      </c>
      <c r="C215" s="1">
        <v>3.69</v>
      </c>
      <c r="D215" s="3">
        <f>B4^4*CURVAS!$B$4+B4^3*CURVAS!$C$4+B4^2*CURVAS!$D$4+B4^1*CURVAS!$E$4+B4^0*CURVAS!$F$4</f>
        <v>3.7143819840000001</v>
      </c>
    </row>
    <row r="216" spans="1:4" ht="15.75" x14ac:dyDescent="0.25">
      <c r="A216" s="1">
        <v>19</v>
      </c>
      <c r="B216" s="1">
        <v>43</v>
      </c>
      <c r="C216" s="1">
        <v>3.73</v>
      </c>
      <c r="D216" s="3">
        <f>B5^4*CURVAS!$B$4+B5^3*CURVAS!$C$4+B5^2*CURVAS!$D$4+B5^1*CURVAS!$E$4+B5^0*CURVAS!$F$4</f>
        <v>3.783078004</v>
      </c>
    </row>
    <row r="217" spans="1:4" ht="15.75" x14ac:dyDescent="0.25">
      <c r="A217" s="1">
        <v>19</v>
      </c>
      <c r="B217" s="1">
        <v>44</v>
      </c>
      <c r="C217" s="1">
        <v>3.915</v>
      </c>
      <c r="D217" s="3">
        <f>B6^4*CURVAS!$B$4+B6^3*CURVAS!$C$4+B6^2*CURVAS!$D$4+B6^1*CURVAS!$E$4+B6^0*CURVAS!$F$4</f>
        <v>3.8529659839999999</v>
      </c>
    </row>
    <row r="218" spans="1:4" ht="15.75" x14ac:dyDescent="0.25">
      <c r="A218" s="1">
        <v>19</v>
      </c>
      <c r="B218" s="1">
        <v>45</v>
      </c>
      <c r="C218" s="1">
        <v>3.95</v>
      </c>
      <c r="D218" s="3">
        <f>B7^4*CURVAS!$B$4+B7^3*CURVAS!$C$4+B7^2*CURVAS!$D$4+B7^1*CURVAS!$E$4+B7^0*CURVAS!$F$4</f>
        <v>3.9240525000000002</v>
      </c>
    </row>
    <row r="219" spans="1:4" ht="15.75" x14ac:dyDescent="0.25">
      <c r="A219" s="1">
        <v>19</v>
      </c>
      <c r="B219" s="1">
        <v>46</v>
      </c>
      <c r="C219" s="1">
        <v>4</v>
      </c>
      <c r="D219" s="3">
        <f>B8^4*CURVAS!$B$4+B8^3*CURVAS!$C$4+B8^2*CURVAS!$D$4+B8^1*CURVAS!$E$4+B8^0*CURVAS!$F$4</f>
        <v>3.996344224</v>
      </c>
    </row>
    <row r="220" spans="1:4" ht="15.75" x14ac:dyDescent="0.25">
      <c r="A220" s="1">
        <v>19</v>
      </c>
      <c r="B220" s="1">
        <v>47</v>
      </c>
      <c r="C220" s="1">
        <v>4.0199999999999996</v>
      </c>
      <c r="D220" s="3">
        <f>B9^4*CURVAS!$B$4+B9^3*CURVAS!$C$4+B9^2*CURVAS!$D$4+B9^1*CURVAS!$E$4+B9^0*CURVAS!$F$4</f>
        <v>4.0698479240000003</v>
      </c>
    </row>
    <row r="221" spans="1:4" ht="15.75" x14ac:dyDescent="0.25">
      <c r="A221" s="1">
        <v>19</v>
      </c>
      <c r="B221" s="1">
        <v>48</v>
      </c>
      <c r="C221" s="1">
        <v>4.0199999999999996</v>
      </c>
      <c r="D221" s="3">
        <f>B10^4*CURVAS!$B$4+B10^3*CURVAS!$C$4+B10^2*CURVAS!$D$4+B10^1*CURVAS!$E$4+B10^0*CURVAS!$F$4</f>
        <v>4.1445704640000001</v>
      </c>
    </row>
    <row r="222" spans="1:4" ht="15.75" x14ac:dyDescent="0.25">
      <c r="A222" s="1">
        <v>19</v>
      </c>
      <c r="B222" s="1">
        <v>49</v>
      </c>
      <c r="C222" s="1">
        <v>4.24</v>
      </c>
      <c r="D222" s="3">
        <f>B11^4*CURVAS!$B$4+B11^3*CURVAS!$C$4+B11^2*CURVAS!$D$4+B11^1*CURVAS!$E$4+B11^0*CURVAS!$F$4</f>
        <v>4.2205188040000001</v>
      </c>
    </row>
    <row r="223" spans="1:4" ht="15.75" x14ac:dyDescent="0.25">
      <c r="A223" s="1">
        <v>19</v>
      </c>
      <c r="B223" s="1">
        <v>50</v>
      </c>
      <c r="C223" s="1">
        <v>4.3</v>
      </c>
      <c r="D223" s="3">
        <f>B12^4*CURVAS!$B$4+B12^3*CURVAS!$C$4+B12^2*CURVAS!$D$4+B12^1*CURVAS!$E$4+B12^0*CURVAS!$F$4</f>
        <v>4.2976999999999999</v>
      </c>
    </row>
    <row r="224" spans="1:4" ht="15.75" x14ac:dyDescent="0.25">
      <c r="A224" s="1">
        <v>19</v>
      </c>
      <c r="B224" s="1">
        <v>51</v>
      </c>
      <c r="C224" s="1">
        <v>4.34</v>
      </c>
      <c r="D224" s="3">
        <f>B13^4*CURVAS!$B$4+B13^3*CURVAS!$C$4+B13^2*CURVAS!$D$4+B13^1*CURVAS!$E$4+B13^0*CURVAS!$F$4</f>
        <v>4.3761212040000004</v>
      </c>
    </row>
    <row r="225" spans="1:4" ht="15.75" x14ac:dyDescent="0.25">
      <c r="A225" s="1">
        <v>19</v>
      </c>
      <c r="B225" s="1">
        <v>52</v>
      </c>
      <c r="C225" s="1">
        <v>4.5449999999999999</v>
      </c>
      <c r="D225" s="3">
        <f>B14^4*CURVAS!$B$4+B14^3*CURVAS!$C$4+B14^2*CURVAS!$D$4+B14^1*CURVAS!$E$4+B14^0*CURVAS!$F$4</f>
        <v>4.4557896640000001</v>
      </c>
    </row>
    <row r="226" spans="1:4" ht="15.75" x14ac:dyDescent="0.25">
      <c r="A226" s="1">
        <v>19</v>
      </c>
      <c r="B226" s="1">
        <v>53</v>
      </c>
      <c r="C226" s="1">
        <v>4.5999999999999996</v>
      </c>
      <c r="D226" s="3">
        <f>B15^4*CURVAS!$B$4+B15^3*CURVAS!$C$4+B15^2*CURVAS!$D$4+B15^1*CURVAS!$E$4+B15^0*CURVAS!$F$4</f>
        <v>4.536712724</v>
      </c>
    </row>
    <row r="227" spans="1:4" ht="15.75" x14ac:dyDescent="0.25">
      <c r="A227" s="1">
        <v>19</v>
      </c>
      <c r="B227" s="1">
        <v>54</v>
      </c>
      <c r="C227" s="1">
        <v>4.63</v>
      </c>
      <c r="D227" s="3">
        <f>B16^4*CURVAS!$B$4+B16^3*CURVAS!$C$4+B16^2*CURVAS!$D$4+B16^1*CURVAS!$E$4+B16^0*CURVAS!$F$4</f>
        <v>4.6188978240000003</v>
      </c>
    </row>
    <row r="228" spans="1:4" ht="15.75" x14ac:dyDescent="0.25">
      <c r="A228" s="1">
        <v>19</v>
      </c>
      <c r="B228" s="1">
        <v>55</v>
      </c>
      <c r="C228" s="1">
        <v>4.67</v>
      </c>
      <c r="D228" s="3">
        <f>B17^4*CURVAS!$B$4+B17^3*CURVAS!$C$4+B17^2*CURVAS!$D$4+B17^1*CURVAS!$E$4+B17^0*CURVAS!$F$4</f>
        <v>4.7023524999999999</v>
      </c>
    </row>
    <row r="229" spans="1:4" ht="15.75" x14ac:dyDescent="0.25">
      <c r="A229" s="1">
        <v>19</v>
      </c>
      <c r="B229" s="1">
        <v>56</v>
      </c>
      <c r="C229" s="1">
        <v>4.88</v>
      </c>
      <c r="D229" s="3">
        <f>B18^4*CURVAS!$B$4+B18^3*CURVAS!$C$4+B18^2*CURVAS!$D$4+B18^1*CURVAS!$E$4+B18^0*CURVAS!$F$4</f>
        <v>4.7870843839999999</v>
      </c>
    </row>
    <row r="230" spans="1:4" ht="15.75" x14ac:dyDescent="0.25">
      <c r="A230" s="1">
        <v>19</v>
      </c>
      <c r="B230" s="1">
        <v>57</v>
      </c>
      <c r="C230" s="1">
        <v>4.9249999999999998</v>
      </c>
      <c r="D230" s="3">
        <f>B19^4*CURVAS!$B$4+B19^3*CURVAS!$C$4+B19^2*CURVAS!$D$4+B19^1*CURVAS!$E$4+B19^0*CURVAS!$F$4</f>
        <v>4.8731012040000001</v>
      </c>
    </row>
    <row r="231" spans="1:4" ht="15.75" x14ac:dyDescent="0.25">
      <c r="A231" s="1">
        <v>19</v>
      </c>
      <c r="B231" s="1">
        <v>58</v>
      </c>
      <c r="C231" s="1">
        <v>4.96</v>
      </c>
      <c r="D231" s="3">
        <f>B20^4*CURVAS!$B$4+B20^3*CURVAS!$C$4+B20^2*CURVAS!$D$4+B20^1*CURVAS!$E$4+B20^0*CURVAS!$F$4</f>
        <v>4.9604107840000005</v>
      </c>
    </row>
    <row r="232" spans="1:4" ht="15.75" x14ac:dyDescent="0.25">
      <c r="A232" s="1">
        <v>19</v>
      </c>
      <c r="B232" s="1">
        <v>59</v>
      </c>
      <c r="C232" s="1">
        <v>5</v>
      </c>
      <c r="D232" s="3">
        <f>B21^4*CURVAS!$B$4+B21^3*CURVAS!$C$4+B21^2*CURVAS!$D$4+B21^1*CURVAS!$E$4+B21^0*CURVAS!$F$4</f>
        <v>5.0490210439999998</v>
      </c>
    </row>
    <row r="233" spans="1:4" ht="15.75" x14ac:dyDescent="0.25">
      <c r="A233" s="1">
        <v>19</v>
      </c>
      <c r="B233" s="1">
        <v>60</v>
      </c>
      <c r="C233" s="1">
        <v>5.2</v>
      </c>
      <c r="D233" s="3">
        <f>B22^4*CURVAS!$B$4+B22^3*CURVAS!$C$4+B22^2*CURVAS!$D$4+B22^1*CURVAS!$E$4+B22^0*CURVAS!$F$4</f>
        <v>5.1389399999999998</v>
      </c>
    </row>
    <row r="234" spans="1:4" ht="15.75" x14ac:dyDescent="0.25">
      <c r="A234" s="1">
        <v>19</v>
      </c>
      <c r="B234" s="1">
        <v>61</v>
      </c>
      <c r="C234" s="1">
        <v>5.3</v>
      </c>
      <c r="D234" s="3">
        <f>B23^4*CURVAS!$B$4+B23^3*CURVAS!$C$4+B23^2*CURVAS!$D$4+B23^1*CURVAS!$E$4+B23^0*CURVAS!$F$4</f>
        <v>5.2301757640000002</v>
      </c>
    </row>
    <row r="235" spans="1:4" ht="15.75" x14ac:dyDescent="0.25">
      <c r="A235" s="1">
        <v>19</v>
      </c>
      <c r="B235" s="1">
        <v>62</v>
      </c>
      <c r="C235" s="1">
        <v>5.3</v>
      </c>
      <c r="D235" s="3">
        <f>B24^4*CURVAS!$B$4+B24^3*CURVAS!$C$4+B24^2*CURVAS!$D$4+B24^1*CURVAS!$E$4+B24^0*CURVAS!$F$4</f>
        <v>5.3227365439999996</v>
      </c>
    </row>
    <row r="236" spans="1:4" ht="15.75" x14ac:dyDescent="0.25">
      <c r="A236" s="1">
        <v>19</v>
      </c>
      <c r="B236" s="1">
        <v>63</v>
      </c>
      <c r="C236" s="1">
        <v>5.3</v>
      </c>
      <c r="D236" s="3">
        <f>B25^4*CURVAS!$B$4+B25^3*CURVAS!$C$4+B25^2*CURVAS!$D$4+B25^1*CURVAS!$E$4+B25^0*CURVAS!$F$4</f>
        <v>5.4166306439999996</v>
      </c>
    </row>
    <row r="237" spans="1:4" ht="15.75" x14ac:dyDescent="0.25">
      <c r="A237" s="1">
        <v>19</v>
      </c>
      <c r="B237" s="1">
        <v>64</v>
      </c>
      <c r="C237" s="1">
        <v>5.6</v>
      </c>
      <c r="D237" s="3">
        <f>B26^4*CURVAS!$B$4+B26^3*CURVAS!$C$4+B26^2*CURVAS!$D$4+B26^1*CURVAS!$E$4+B26^0*CURVAS!$F$4</f>
        <v>5.5118664640000006</v>
      </c>
    </row>
    <row r="238" spans="1:4" ht="15.75" x14ac:dyDescent="0.25">
      <c r="A238" s="1">
        <v>19</v>
      </c>
      <c r="B238" s="1">
        <v>65</v>
      </c>
      <c r="C238" s="1">
        <v>5.6</v>
      </c>
      <c r="D238" s="3">
        <f>B27^4*CURVAS!$B$4+B27^3*CURVAS!$C$4+B27^2*CURVAS!$D$4+B27^1*CURVAS!$E$4+B27^0*CURVAS!$F$4</f>
        <v>5.6084524999999994</v>
      </c>
    </row>
    <row r="239" spans="1:4" ht="15.75" x14ac:dyDescent="0.25">
      <c r="A239" s="1">
        <v>19</v>
      </c>
      <c r="B239" s="1">
        <v>66</v>
      </c>
      <c r="C239" s="1">
        <v>5.7</v>
      </c>
      <c r="D239" s="3">
        <f>B28^4*CURVAS!$B$4+B28^3*CURVAS!$C$4+B28^2*CURVAS!$D$4+B28^1*CURVAS!$E$4+B28^0*CURVAS!$F$4</f>
        <v>5.706397344</v>
      </c>
    </row>
    <row r="240" spans="1:4" ht="15.75" x14ac:dyDescent="0.25">
      <c r="A240" s="1">
        <v>19</v>
      </c>
      <c r="B240" s="1">
        <v>67</v>
      </c>
      <c r="C240" s="1">
        <v>5.7</v>
      </c>
      <c r="D240" s="3">
        <f>B29^4*CURVAS!$B$4+B29^3*CURVAS!$C$4+B29^2*CURVAS!$D$4+B29^1*CURVAS!$E$4+B29^0*CURVAS!$F$4</f>
        <v>5.805709684</v>
      </c>
    </row>
    <row r="241" spans="1:4" ht="15.75" x14ac:dyDescent="0.25">
      <c r="A241" s="1">
        <v>19</v>
      </c>
      <c r="B241" s="1">
        <v>68</v>
      </c>
      <c r="C241" s="1">
        <v>6</v>
      </c>
      <c r="D241" s="3">
        <f>B30^4*CURVAS!$B$4+B30^3*CURVAS!$C$4+B30^2*CURVAS!$D$4+B30^1*CURVAS!$E$4+B30^0*CURVAS!$F$4</f>
        <v>5.9063983039999997</v>
      </c>
    </row>
    <row r="242" spans="1:4" ht="15.75" x14ac:dyDescent="0.25">
      <c r="A242" s="1">
        <v>19</v>
      </c>
      <c r="B242" s="1">
        <v>69</v>
      </c>
      <c r="C242" s="1">
        <v>6.1</v>
      </c>
      <c r="D242" s="3">
        <f>B31^4*CURVAS!$B$4+B31^3*CURVAS!$C$4+B31^2*CURVAS!$D$4+B31^1*CURVAS!$E$4+B31^0*CURVAS!$F$4</f>
        <v>6.0084720840000001</v>
      </c>
    </row>
    <row r="243" spans="1:4" ht="15.75" x14ac:dyDescent="0.25">
      <c r="A243" s="1">
        <v>19</v>
      </c>
      <c r="B243" s="1">
        <v>70</v>
      </c>
      <c r="C243" s="1">
        <v>6.1</v>
      </c>
      <c r="D243" s="3">
        <f>B32^4*CURVAS!$B$4+B32^3*CURVAS!$C$4+B32^2*CURVAS!$D$4+B32^1*CURVAS!$E$4+B32^0*CURVAS!$F$4</f>
        <v>6.1119399999999997</v>
      </c>
    </row>
    <row r="244" spans="1:4" ht="15.75" x14ac:dyDescent="0.25">
      <c r="A244" s="1">
        <v>19</v>
      </c>
      <c r="B244" s="1">
        <v>71</v>
      </c>
      <c r="C244" s="1">
        <v>6.1</v>
      </c>
      <c r="D244" s="3">
        <f>B33^4*CURVAS!$B$4+B33^3*CURVAS!$C$4+B33^2*CURVAS!$D$4+B33^1*CURVAS!$E$4+B33^0*CURVAS!$F$4</f>
        <v>6.2168111240000004</v>
      </c>
    </row>
    <row r="245" spans="1:4" ht="15.75" x14ac:dyDescent="0.25">
      <c r="A245" s="1">
        <v>19</v>
      </c>
      <c r="B245" s="1">
        <v>72</v>
      </c>
      <c r="C245" s="1">
        <v>6.4</v>
      </c>
      <c r="D245" s="3">
        <f>B34^4*CURVAS!$B$4+B34^3*CURVAS!$C$4+B34^2*CURVAS!$D$4+B34^1*CURVAS!$E$4+B34^0*CURVAS!$F$4</f>
        <v>6.3230946240000003</v>
      </c>
    </row>
    <row r="246" spans="1:4" ht="15.75" x14ac:dyDescent="0.25">
      <c r="A246" s="1">
        <v>19</v>
      </c>
      <c r="B246" s="1">
        <v>73</v>
      </c>
      <c r="C246" s="1">
        <v>6.5</v>
      </c>
      <c r="D246" s="3">
        <f>B35^4*CURVAS!$B$4+B35^3*CURVAS!$C$4+B35^2*CURVAS!$D$4+B35^1*CURVAS!$E$4+B35^0*CURVAS!$F$4</f>
        <v>6.4307997640000005</v>
      </c>
    </row>
    <row r="247" spans="1:4" ht="15.75" x14ac:dyDescent="0.25">
      <c r="A247" s="1">
        <v>19</v>
      </c>
      <c r="B247" s="1">
        <v>74</v>
      </c>
      <c r="C247" s="1">
        <v>6.5</v>
      </c>
      <c r="D247" s="3">
        <f>B36^4*CURVAS!$B$4+B36^3*CURVAS!$C$4+B36^2*CURVAS!$D$4+B36^1*CURVAS!$E$4+B36^0*CURVAS!$F$4</f>
        <v>6.539935904</v>
      </c>
    </row>
    <row r="248" spans="1:4" ht="15.75" x14ac:dyDescent="0.25">
      <c r="A248" s="1">
        <v>19</v>
      </c>
      <c r="B248" s="1">
        <v>75</v>
      </c>
      <c r="C248" s="1">
        <v>6.6</v>
      </c>
      <c r="D248" s="3">
        <f>B37^4*CURVAS!$B$4+B37^3*CURVAS!$C$4+B37^2*CURVAS!$D$4+B37^1*CURVAS!$E$4+B37^0*CURVAS!$F$4</f>
        <v>6.6505125000000005</v>
      </c>
    </row>
    <row r="249" spans="1:4" ht="15.75" x14ac:dyDescent="0.25">
      <c r="A249" s="1">
        <v>19</v>
      </c>
      <c r="B249" s="1">
        <v>76</v>
      </c>
      <c r="C249" s="1">
        <v>6.8</v>
      </c>
      <c r="D249" s="3">
        <f>B38^4*CURVAS!$B$4+B38^3*CURVAS!$C$4+B38^2*CURVAS!$D$4+B38^1*CURVAS!$E$4+B38^0*CURVAS!$F$4</f>
        <v>6.762539104</v>
      </c>
    </row>
    <row r="250" spans="1:4" ht="15.75" x14ac:dyDescent="0.25">
      <c r="A250" s="1">
        <v>19</v>
      </c>
      <c r="B250" s="1">
        <v>77</v>
      </c>
      <c r="C250" s="1">
        <v>6.9</v>
      </c>
      <c r="D250" s="3">
        <f>B39^4*CURVAS!$B$4+B39^3*CURVAS!$C$4+B39^2*CURVAS!$D$4+B39^1*CURVAS!$E$4+B39^0*CURVAS!$F$4</f>
        <v>6.8760253640000002</v>
      </c>
    </row>
    <row r="251" spans="1:4" ht="15.75" x14ac:dyDescent="0.25">
      <c r="A251" s="1">
        <v>19</v>
      </c>
      <c r="B251" s="1">
        <v>78</v>
      </c>
      <c r="C251" s="1">
        <v>7</v>
      </c>
      <c r="D251" s="3">
        <f>B40^4*CURVAS!$B$4+B40^3*CURVAS!$C$4+B40^2*CURVAS!$D$4+B40^1*CURVAS!$E$4+B40^0*CURVAS!$F$4</f>
        <v>6.9909810240000008</v>
      </c>
    </row>
    <row r="252" spans="1:4" ht="15.75" x14ac:dyDescent="0.25">
      <c r="A252" s="1">
        <v>19</v>
      </c>
      <c r="B252" s="1">
        <v>79</v>
      </c>
      <c r="C252" s="1">
        <v>7</v>
      </c>
      <c r="D252" s="3">
        <f>B41^4*CURVAS!$B$4+B41^3*CURVAS!$C$4+B41^2*CURVAS!$D$4+B41^1*CURVAS!$E$4+B41^0*CURVAS!$F$4</f>
        <v>7.1074159240000006</v>
      </c>
    </row>
    <row r="253" spans="1:4" ht="15.75" x14ac:dyDescent="0.25">
      <c r="A253" s="1">
        <v>19</v>
      </c>
      <c r="B253" s="1">
        <v>80</v>
      </c>
      <c r="C253" s="1">
        <v>7.3</v>
      </c>
      <c r="D253" s="3">
        <f>B42^4*CURVAS!$B$4+B42^3*CURVAS!$C$4+B42^2*CURVAS!$D$4+B42^1*CURVAS!$E$4+B42^0*CURVAS!$F$4</f>
        <v>7.2253400000000001</v>
      </c>
    </row>
    <row r="254" spans="1:4" ht="15.75" x14ac:dyDescent="0.25">
      <c r="A254" s="1">
        <v>19</v>
      </c>
      <c r="B254" s="1">
        <v>81</v>
      </c>
      <c r="C254" s="1">
        <v>7.4</v>
      </c>
      <c r="D254" s="3">
        <f>B43^4*CURVAS!$B$4+B43^3*CURVAS!$C$4+B43^2*CURVAS!$D$4+B43^1*CURVAS!$E$4+B43^0*CURVAS!$F$4</f>
        <v>7.3447632839999999</v>
      </c>
    </row>
    <row r="255" spans="1:4" ht="15.75" x14ac:dyDescent="0.25">
      <c r="A255" s="1">
        <v>19</v>
      </c>
      <c r="B255" s="1">
        <v>82</v>
      </c>
      <c r="C255" s="1">
        <v>7.5</v>
      </c>
      <c r="D255" s="3">
        <f>B44^4*CURVAS!$B$4+B44^3*CURVAS!$C$4+B44^2*CURVAS!$D$4+B44^1*CURVAS!$E$4+B44^0*CURVAS!$F$4</f>
        <v>7.4656959040000004</v>
      </c>
    </row>
    <row r="256" spans="1:4" ht="15.75" x14ac:dyDescent="0.25">
      <c r="A256" s="1">
        <v>19</v>
      </c>
      <c r="B256" s="1">
        <v>83</v>
      </c>
      <c r="C256" s="1">
        <v>7.5</v>
      </c>
      <c r="D256" s="3">
        <f>B45^4*CURVAS!$B$4+B45^3*CURVAS!$C$4+B45^2*CURVAS!$D$4+B45^1*CURVAS!$E$4+B45^0*CURVAS!$F$4</f>
        <v>7.5881480840000002</v>
      </c>
    </row>
    <row r="257" spans="1:4" ht="15.75" x14ac:dyDescent="0.25">
      <c r="A257" s="1">
        <v>19</v>
      </c>
      <c r="B257" s="1">
        <v>84</v>
      </c>
      <c r="C257" s="1">
        <v>7.8</v>
      </c>
      <c r="D257" s="3">
        <f>B46^4*CURVAS!$B$4+B46^3*CURVAS!$C$4+B46^2*CURVAS!$D$4+B46^1*CURVAS!$E$4+B46^0*CURVAS!$F$4</f>
        <v>7.7121301440000005</v>
      </c>
    </row>
    <row r="258" spans="1:4" ht="15.75" x14ac:dyDescent="0.25">
      <c r="A258" s="1">
        <v>19</v>
      </c>
      <c r="B258" s="1">
        <v>85</v>
      </c>
      <c r="C258" s="1">
        <v>7.9</v>
      </c>
      <c r="D258" s="3">
        <f>B47^4*CURVAS!$B$4+B47^3*CURVAS!$C$4+B47^2*CURVAS!$D$4+B47^1*CURVAS!$E$4+B47^0*CURVAS!$F$4</f>
        <v>7.8376524999999999</v>
      </c>
    </row>
    <row r="259" spans="1:4" ht="15.75" x14ac:dyDescent="0.25">
      <c r="A259" s="1">
        <v>19</v>
      </c>
      <c r="B259" s="1">
        <v>86</v>
      </c>
      <c r="C259" s="1">
        <v>8</v>
      </c>
      <c r="D259" s="3">
        <f>B48^4*CURVAS!$B$4+B48^3*CURVAS!$C$4+B48^2*CURVAS!$D$4+B48^1*CURVAS!$E$4+B48^0*CURVAS!$F$4</f>
        <v>7.9647256639999995</v>
      </c>
    </row>
    <row r="260" spans="1:4" ht="15.75" x14ac:dyDescent="0.25">
      <c r="A260" s="1">
        <v>19</v>
      </c>
      <c r="B260" s="1">
        <v>87</v>
      </c>
      <c r="C260" s="1">
        <v>8</v>
      </c>
      <c r="D260" s="3">
        <f>B49^4*CURVAS!$B$4+B49^3*CURVAS!$C$4+B49^2*CURVAS!$D$4+B49^1*CURVAS!$E$4+B49^0*CURVAS!$F$4</f>
        <v>8.0933602439999994</v>
      </c>
    </row>
    <row r="261" spans="1:4" ht="15.75" x14ac:dyDescent="0.25">
      <c r="A261" s="1">
        <v>19</v>
      </c>
      <c r="B261" s="1">
        <v>88</v>
      </c>
      <c r="C261" s="1">
        <v>8.3000000000000007</v>
      </c>
      <c r="D261" s="3">
        <f>B50^4*CURVAS!$B$4+B50^3*CURVAS!$C$4+B50^2*CURVAS!$D$4+B50^1*CURVAS!$E$4+B50^0*CURVAS!$F$4</f>
        <v>8.2235669439999999</v>
      </c>
    </row>
    <row r="262" spans="1:4" ht="15.75" x14ac:dyDescent="0.25">
      <c r="A262" s="1">
        <v>19</v>
      </c>
      <c r="B262" s="1">
        <v>89</v>
      </c>
      <c r="C262" s="1">
        <v>8.4</v>
      </c>
      <c r="D262" s="3">
        <f>B51^4*CURVAS!$B$4+B51^3*CURVAS!$C$4+B51^2*CURVAS!$D$4+B51^1*CURVAS!$E$4+B51^0*CURVAS!$F$4</f>
        <v>8.3553565640000009</v>
      </c>
    </row>
    <row r="263" spans="1:4" ht="15.75" x14ac:dyDescent="0.25">
      <c r="A263" s="1">
        <v>19</v>
      </c>
      <c r="B263" s="1">
        <v>90</v>
      </c>
      <c r="C263" s="1">
        <v>8.5</v>
      </c>
      <c r="D263" s="3">
        <f>B52^4*CURVAS!$B$4+B52^3*CURVAS!$C$4+B52^2*CURVAS!$D$4+B52^1*CURVAS!$E$4+B52^0*CURVAS!$F$4</f>
        <v>8.48874</v>
      </c>
    </row>
    <row r="264" spans="1:4" ht="15.75" x14ac:dyDescent="0.25">
      <c r="A264" s="1">
        <v>19</v>
      </c>
      <c r="B264" s="1">
        <v>91</v>
      </c>
      <c r="C264" s="1">
        <v>8.5</v>
      </c>
      <c r="D264" s="3">
        <f>B53^4*CURVAS!$B$4+B53^3*CURVAS!$C$4+B53^2*CURVAS!$D$4+B53^1*CURVAS!$E$4+B53^0*CURVAS!$F$4</f>
        <v>8.6237282439999987</v>
      </c>
    </row>
    <row r="265" spans="1:4" ht="15.75" x14ac:dyDescent="0.25">
      <c r="A265" s="1">
        <v>19</v>
      </c>
      <c r="B265" s="1">
        <v>92</v>
      </c>
      <c r="C265" s="1">
        <v>8.9</v>
      </c>
      <c r="D265" s="3">
        <f>B54^4*CURVAS!$B$4+B54^3*CURVAS!$C$4+B54^2*CURVAS!$D$4+B54^1*CURVAS!$E$4+B54^0*CURVAS!$F$4</f>
        <v>8.7603323839999998</v>
      </c>
    </row>
    <row r="266" spans="1:4" ht="15.75" x14ac:dyDescent="0.25">
      <c r="A266" s="1">
        <v>19</v>
      </c>
      <c r="B266" s="1">
        <v>93</v>
      </c>
      <c r="C266" s="1">
        <v>8.9</v>
      </c>
      <c r="D266" s="3">
        <f>B55^4*CURVAS!$B$4+B55^3*CURVAS!$C$4+B55^2*CURVAS!$D$4+B55^1*CURVAS!$E$4+B55^0*CURVAS!$F$4</f>
        <v>8.8985636039999996</v>
      </c>
    </row>
    <row r="267" spans="1:4" ht="15.75" x14ac:dyDescent="0.25">
      <c r="A267" s="1">
        <v>19</v>
      </c>
      <c r="B267" s="1">
        <v>94</v>
      </c>
      <c r="C267" s="1">
        <v>9</v>
      </c>
      <c r="D267" s="3">
        <f>B56^4*CURVAS!$B$4+B56^3*CURVAS!$C$4+B56^2*CURVAS!$D$4+B56^1*CURVAS!$E$4+B56^0*CURVAS!$F$4</f>
        <v>9.0384331840000005</v>
      </c>
    </row>
    <row r="268" spans="1:4" ht="15.75" x14ac:dyDescent="0.25">
      <c r="A268" s="1">
        <v>19</v>
      </c>
      <c r="B268" s="1">
        <v>95</v>
      </c>
      <c r="C268" s="1">
        <v>9.1</v>
      </c>
      <c r="D268" s="3">
        <f>B57^4*CURVAS!$B$4+B57^3*CURVAS!$C$4+B57^2*CURVAS!$D$4+B57^1*CURVAS!$E$4+B57^0*CURVAS!$F$4</f>
        <v>9.1799524999999988</v>
      </c>
    </row>
    <row r="269" spans="1:4" ht="15.75" x14ac:dyDescent="0.25">
      <c r="A269" s="1">
        <v>19</v>
      </c>
      <c r="B269" s="1">
        <v>96</v>
      </c>
      <c r="C269" s="1">
        <v>9.4</v>
      </c>
      <c r="D269" s="3">
        <f>B58^4*CURVAS!$B$4+B58^3*CURVAS!$C$4+B58^2*CURVAS!$D$4+B58^1*CURVAS!$E$4+B58^0*CURVAS!$F$4</f>
        <v>9.3231330240000005</v>
      </c>
    </row>
    <row r="270" spans="1:4" ht="15.75" x14ac:dyDescent="0.25">
      <c r="A270" s="1">
        <v>19</v>
      </c>
      <c r="B270" s="1">
        <v>97</v>
      </c>
      <c r="C270" s="1">
        <v>9.5</v>
      </c>
      <c r="D270" s="3">
        <f>B59^4*CURVAS!$B$4+B59^3*CURVAS!$C$4+B59^2*CURVAS!$D$4+B59^1*CURVAS!$E$4+B59^0*CURVAS!$F$4</f>
        <v>9.4679863240000017</v>
      </c>
    </row>
    <row r="271" spans="1:4" ht="15.75" x14ac:dyDescent="0.25">
      <c r="A271" s="1">
        <v>19</v>
      </c>
      <c r="B271" s="1">
        <v>98</v>
      </c>
      <c r="C271" s="1">
        <v>9.6</v>
      </c>
      <c r="D271" s="3">
        <f>B60^4*CURVAS!$B$4+B60^3*CURVAS!$C$4+B60^2*CURVAS!$D$4+B60^1*CURVAS!$E$4+B60^0*CURVAS!$F$4</f>
        <v>9.6145240640000011</v>
      </c>
    </row>
    <row r="272" spans="1:4" ht="15.75" x14ac:dyDescent="0.25">
      <c r="A272" s="1">
        <v>19</v>
      </c>
      <c r="B272" s="1">
        <v>99</v>
      </c>
      <c r="C272" s="1">
        <v>9.6999999999999993</v>
      </c>
      <c r="D272" s="3">
        <f>B61^4*CURVAS!$B$4+B61^3*CURVAS!$C$4+B61^2*CURVAS!$D$4+B61^1*CURVAS!$E$4+B61^0*CURVAS!$F$4</f>
        <v>9.7627580040000002</v>
      </c>
    </row>
    <row r="273" spans="1:4" ht="15.75" x14ac:dyDescent="0.25">
      <c r="A273" s="1">
        <v>19</v>
      </c>
      <c r="B273" s="1">
        <v>100</v>
      </c>
      <c r="C273" s="1">
        <v>10</v>
      </c>
      <c r="D273" s="3">
        <f>B62^4*CURVAS!$B$4+B62^3*CURVAS!$C$4+B62^2*CURVAS!$D$4+B62^1*CURVAS!$E$4+B62^0*CURVAS!$F$4</f>
        <v>9.912700000000001</v>
      </c>
    </row>
    <row r="274" spans="1:4" ht="15.75" x14ac:dyDescent="0.25">
      <c r="A274" s="1">
        <v>19</v>
      </c>
      <c r="B274" s="1">
        <v>101</v>
      </c>
      <c r="C274" s="1">
        <v>10.1</v>
      </c>
      <c r="D274" s="3">
        <f>B63^4*CURVAS!$B$4+B63^3*CURVAS!$C$4+B63^2*CURVAS!$D$4+B63^1*CURVAS!$E$4+B63^0*CURVAS!$F$4</f>
        <v>10.064362003999999</v>
      </c>
    </row>
    <row r="275" spans="1:4" ht="15.75" x14ac:dyDescent="0.25">
      <c r="A275" s="1">
        <v>19</v>
      </c>
      <c r="B275" s="1">
        <v>102</v>
      </c>
      <c r="C275" s="1">
        <v>10.199999999999999</v>
      </c>
      <c r="D275" s="3">
        <f>B64^4*CURVAS!$B$4+B64^3*CURVAS!$C$4+B64^2*CURVAS!$D$4+B64^1*CURVAS!$E$4+B64^0*CURVAS!$F$4</f>
        <v>10.217756064</v>
      </c>
    </row>
    <row r="276" spans="1:4" ht="15.75" x14ac:dyDescent="0.25">
      <c r="A276" s="1">
        <v>19</v>
      </c>
      <c r="B276" s="1">
        <v>103</v>
      </c>
      <c r="C276" s="1">
        <v>10.3</v>
      </c>
      <c r="D276" s="3">
        <f>B65^4*CURVAS!$B$4+B65^3*CURVAS!$C$4+B65^2*CURVAS!$D$4+B65^1*CURVAS!$E$4+B65^0*CURVAS!$F$4</f>
        <v>10.372894324000001</v>
      </c>
    </row>
    <row r="277" spans="1:4" ht="15.75" x14ac:dyDescent="0.25">
      <c r="A277" s="1">
        <v>19</v>
      </c>
      <c r="B277" s="1">
        <v>104</v>
      </c>
      <c r="C277" s="1">
        <v>10.6</v>
      </c>
      <c r="D277" s="3">
        <f>B66^4*CURVAS!$B$4+B66^3*CURVAS!$C$4+B66^2*CURVAS!$D$4+B66^1*CURVAS!$E$4+B66^0*CURVAS!$F$4</f>
        <v>10.529789023999999</v>
      </c>
    </row>
    <row r="278" spans="1:4" ht="15.75" x14ac:dyDescent="0.25">
      <c r="A278" s="1">
        <v>19</v>
      </c>
      <c r="B278" s="1">
        <v>105</v>
      </c>
      <c r="C278" s="1">
        <v>10.7</v>
      </c>
      <c r="D278" s="3">
        <f>B67^4*CURVAS!$B$4+B67^3*CURVAS!$C$4+B67^2*CURVAS!$D$4+B67^1*CURVAS!$E$4+B67^0*CURVAS!$F$4</f>
        <v>10.6884525</v>
      </c>
    </row>
    <row r="279" spans="1:4" ht="15.75" x14ac:dyDescent="0.25">
      <c r="A279" s="1">
        <v>19</v>
      </c>
      <c r="B279" s="1">
        <v>106</v>
      </c>
      <c r="C279" s="1">
        <v>10.8</v>
      </c>
      <c r="D279" s="3">
        <f>B68^4*CURVAS!$B$4+B68^3*CURVAS!$C$4+B68^2*CURVAS!$D$4+B68^1*CURVAS!$E$4+B68^0*CURVAS!$F$4</f>
        <v>10.848897184000002</v>
      </c>
    </row>
    <row r="280" spans="1:4" ht="15.75" x14ac:dyDescent="0.25">
      <c r="A280" s="1">
        <v>19</v>
      </c>
      <c r="B280" s="1">
        <v>107</v>
      </c>
      <c r="C280" s="1">
        <v>10.9</v>
      </c>
      <c r="D280" s="3">
        <f>B69^4*CURVAS!$B$4+B69^3*CURVAS!$C$4+B69^2*CURVAS!$D$4+B69^1*CURVAS!$E$4+B69^0*CURVAS!$F$4</f>
        <v>11.011135604</v>
      </c>
    </row>
    <row r="281" spans="1:4" ht="15.75" x14ac:dyDescent="0.25">
      <c r="A281" s="1">
        <v>19</v>
      </c>
      <c r="B281" s="1">
        <v>108</v>
      </c>
      <c r="C281" s="1">
        <v>11.3</v>
      </c>
      <c r="D281" s="3">
        <f>B70^4*CURVAS!$B$4+B70^3*CURVAS!$C$4+B70^2*CURVAS!$D$4+B70^1*CURVAS!$E$4+B70^0*CURVAS!$F$4</f>
        <v>11.175180384000001</v>
      </c>
    </row>
    <row r="282" spans="1:4" ht="15.75" x14ac:dyDescent="0.25">
      <c r="A282" s="1">
        <v>19</v>
      </c>
      <c r="B282" s="1">
        <v>109</v>
      </c>
      <c r="C282" s="1">
        <v>11.4</v>
      </c>
      <c r="D282" s="3">
        <f>B71^4*CURVAS!$B$4+B71^3*CURVAS!$C$4+B71^2*CURVAS!$D$4+B71^1*CURVAS!$E$4+B71^0*CURVAS!$F$4</f>
        <v>11.341044243999999</v>
      </c>
    </row>
    <row r="283" spans="1:4" ht="15.75" x14ac:dyDescent="0.25">
      <c r="A283" s="1">
        <v>19</v>
      </c>
      <c r="B283" s="1">
        <v>110</v>
      </c>
      <c r="C283" s="1">
        <v>11.5</v>
      </c>
      <c r="D283" s="3">
        <f>B72^4*CURVAS!$B$4+B72^3*CURVAS!$C$4+B72^2*CURVAS!$D$4+B72^1*CURVAS!$E$4+B72^0*CURVAS!$F$4</f>
        <v>11.50874</v>
      </c>
    </row>
    <row r="284" spans="1:4" ht="15.75" x14ac:dyDescent="0.25">
      <c r="A284" s="1">
        <v>19</v>
      </c>
      <c r="B284" s="1">
        <v>111</v>
      </c>
      <c r="C284" s="1">
        <v>11.6</v>
      </c>
      <c r="D284" s="3">
        <f>B73^4*CURVAS!$B$4+B73^3*CURVAS!$C$4+B73^2*CURVAS!$D$4+B73^1*CURVAS!$E$4+B73^0*CURVAS!$F$4</f>
        <v>11.678280563999998</v>
      </c>
    </row>
    <row r="285" spans="1:4" ht="15.75" x14ac:dyDescent="0.25">
      <c r="A285" s="1">
        <v>19</v>
      </c>
      <c r="B285" s="1">
        <v>112</v>
      </c>
      <c r="C285" s="1">
        <v>12</v>
      </c>
      <c r="D285" s="3">
        <f>B74^4*CURVAS!$B$4+B74^3*CURVAS!$C$4+B74^2*CURVAS!$D$4+B74^1*CURVAS!$E$4+B74^0*CURVAS!$F$4</f>
        <v>11.849678944000001</v>
      </c>
    </row>
    <row r="286" spans="1:4" ht="15.75" x14ac:dyDescent="0.25">
      <c r="A286" s="1">
        <v>19</v>
      </c>
      <c r="B286" s="1">
        <v>113</v>
      </c>
      <c r="C286" s="1">
        <v>12.1</v>
      </c>
      <c r="D286" s="3">
        <f>B75^4*CURVAS!$B$4+B75^3*CURVAS!$C$4+B75^2*CURVAS!$D$4+B75^1*CURVAS!$E$4+B75^0*CURVAS!$F$4</f>
        <v>12.022948243999998</v>
      </c>
    </row>
    <row r="287" spans="1:4" ht="15.75" x14ac:dyDescent="0.25">
      <c r="A287" s="1">
        <v>19</v>
      </c>
      <c r="B287" s="1">
        <v>114</v>
      </c>
      <c r="C287" s="1">
        <v>12.2</v>
      </c>
      <c r="D287" s="3">
        <f>B76^4*CURVAS!$B$4+B76^3*CURVAS!$C$4+B76^2*CURVAS!$D$4+B76^1*CURVAS!$E$4+B76^0*CURVAS!$F$4</f>
        <v>12.198101663999999</v>
      </c>
    </row>
    <row r="288" spans="1:4" ht="15.75" x14ac:dyDescent="0.25">
      <c r="A288" s="1">
        <v>19</v>
      </c>
      <c r="B288" s="1">
        <v>115</v>
      </c>
      <c r="C288" s="1">
        <v>12.3</v>
      </c>
      <c r="D288" s="3">
        <f>B77^4*CURVAS!$B$4+B77^3*CURVAS!$C$4+B77^2*CURVAS!$D$4+B77^1*CURVAS!$E$4+B77^0*CURVAS!$F$4</f>
        <v>12.375152499999999</v>
      </c>
    </row>
    <row r="289" spans="1:4" ht="15.75" x14ac:dyDescent="0.25">
      <c r="A289" s="1">
        <v>19</v>
      </c>
      <c r="B289" s="1">
        <v>116</v>
      </c>
      <c r="C289" s="1">
        <v>12.7</v>
      </c>
      <c r="D289" s="3">
        <f>B78^4*CURVAS!$B$4+B78^3*CURVAS!$C$4+B78^2*CURVAS!$D$4+B78^1*CURVAS!$E$4+B78^0*CURVAS!$F$4</f>
        <v>12.554114144</v>
      </c>
    </row>
    <row r="290" spans="1:4" ht="15.75" x14ac:dyDescent="0.25">
      <c r="A290" s="1">
        <v>19</v>
      </c>
      <c r="B290" s="1">
        <v>117</v>
      </c>
      <c r="C290" s="1">
        <v>12.8</v>
      </c>
      <c r="D290" s="3">
        <f>B79^4*CURVAS!$B$4+B79^3*CURVAS!$C$4+B79^2*CURVAS!$D$4+B79^1*CURVAS!$E$4+B79^0*CURVAS!$F$4</f>
        <v>12.735000083999999</v>
      </c>
    </row>
    <row r="291" spans="1:4" ht="15.75" x14ac:dyDescent="0.25">
      <c r="A291" s="1">
        <v>19</v>
      </c>
      <c r="B291" s="1">
        <v>118</v>
      </c>
      <c r="C291" s="1">
        <v>12.8</v>
      </c>
      <c r="D291" s="3">
        <f>B80^4*CURVAS!$B$4+B80^3*CURVAS!$C$4+B80^2*CURVAS!$D$4+B80^1*CURVAS!$E$4+B80^0*CURVAS!$F$4</f>
        <v>12.917823903999999</v>
      </c>
    </row>
    <row r="292" spans="1:4" ht="15.75" x14ac:dyDescent="0.25">
      <c r="A292" s="1">
        <v>19</v>
      </c>
      <c r="B292" s="1">
        <v>119</v>
      </c>
      <c r="C292" s="1">
        <v>12.9</v>
      </c>
      <c r="D292" s="3">
        <f>B81^4*CURVAS!$B$4+B81^3*CURVAS!$C$4+B81^2*CURVAS!$D$4+B81^1*CURVAS!$E$4+B81^0*CURVAS!$F$4</f>
        <v>13.102599284</v>
      </c>
    </row>
    <row r="293" spans="1:4" ht="15.75" x14ac:dyDescent="0.25">
      <c r="A293" s="1">
        <v>19</v>
      </c>
      <c r="B293" s="1">
        <v>120</v>
      </c>
      <c r="C293" s="1">
        <v>13.4</v>
      </c>
      <c r="D293" s="3">
        <f>B82^4*CURVAS!$B$4+B82^3*CURVAS!$C$4+B82^2*CURVAS!$D$4+B82^1*CURVAS!$E$4+B82^0*CURVAS!$F$4</f>
        <v>13.289339999999999</v>
      </c>
    </row>
    <row r="294" spans="1:4" ht="15.75" x14ac:dyDescent="0.25">
      <c r="A294" s="1">
        <v>19</v>
      </c>
      <c r="B294" s="1">
        <v>121</v>
      </c>
      <c r="C294" s="1">
        <v>13.5</v>
      </c>
      <c r="D294" s="3">
        <f>B83^4*CURVAS!$B$4+B83^3*CURVAS!$C$4+B83^2*CURVAS!$D$4+B83^1*CURVAS!$E$4+B83^0*CURVAS!$F$4</f>
        <v>13.478059924</v>
      </c>
    </row>
    <row r="295" spans="1:4" ht="15.75" x14ac:dyDescent="0.25">
      <c r="A295" s="1">
        <v>19</v>
      </c>
      <c r="B295" s="1">
        <v>122</v>
      </c>
      <c r="C295" s="1">
        <v>13.6</v>
      </c>
      <c r="D295" s="3">
        <f>B84^4*CURVAS!$B$4+B84^3*CURVAS!$C$4+B84^2*CURVAS!$D$4+B84^1*CURVAS!$E$4+B84^0*CURVAS!$F$4</f>
        <v>13.668773024</v>
      </c>
    </row>
    <row r="296" spans="1:4" ht="15.75" x14ac:dyDescent="0.25">
      <c r="A296" s="1">
        <v>19</v>
      </c>
      <c r="B296" s="1">
        <v>123</v>
      </c>
      <c r="C296" s="1">
        <v>13.7</v>
      </c>
      <c r="D296" s="3">
        <f>B85^4*CURVAS!$B$4+B85^3*CURVAS!$C$4+B85^2*CURVAS!$D$4+B85^1*CURVAS!$E$4+B85^0*CURVAS!$F$4</f>
        <v>13.861493363999998</v>
      </c>
    </row>
    <row r="297" spans="1:4" ht="15.75" x14ac:dyDescent="0.25">
      <c r="A297" s="1">
        <v>19</v>
      </c>
      <c r="B297" s="1">
        <v>124</v>
      </c>
      <c r="C297" s="1">
        <v>14.2</v>
      </c>
      <c r="D297" s="3">
        <f>B86^4*CURVAS!$B$4+B86^3*CURVAS!$C$4+B86^2*CURVAS!$D$4+B86^1*CURVAS!$E$4+B86^0*CURVAS!$F$4</f>
        <v>14.056235103999999</v>
      </c>
    </row>
    <row r="298" spans="1:4" ht="15.75" x14ac:dyDescent="0.25">
      <c r="A298" s="1">
        <v>19</v>
      </c>
      <c r="B298" s="1">
        <v>125</v>
      </c>
      <c r="C298" s="1">
        <v>14.3</v>
      </c>
      <c r="D298" s="3">
        <f>B87^4*CURVAS!$B$4+B87^3*CURVAS!$C$4+B87^2*CURVAS!$D$4+B87^1*CURVAS!$E$4+B87^0*CURVAS!$F$4</f>
        <v>14.253012500000001</v>
      </c>
    </row>
    <row r="299" spans="1:4" ht="15.75" x14ac:dyDescent="0.25">
      <c r="A299" s="1">
        <v>19</v>
      </c>
      <c r="B299" s="1">
        <v>126</v>
      </c>
      <c r="C299" s="1">
        <v>14.4</v>
      </c>
      <c r="D299" s="3">
        <f>B88^4*CURVAS!$B$4+B88^3*CURVAS!$C$4+B88^2*CURVAS!$D$4+B88^1*CURVAS!$E$4+B88^0*CURVAS!$F$4</f>
        <v>14.451839904</v>
      </c>
    </row>
    <row r="300" spans="1:4" ht="15.75" x14ac:dyDescent="0.25">
      <c r="A300" s="1">
        <v>19</v>
      </c>
      <c r="B300" s="1">
        <v>127</v>
      </c>
      <c r="C300" s="1">
        <v>14.5</v>
      </c>
      <c r="D300" s="3">
        <f>B89^4*CURVAS!$B$4+B89^3*CURVAS!$C$4+B89^2*CURVAS!$D$4+B89^1*CURVAS!$E$4+B89^0*CURVAS!$F$4</f>
        <v>14.652731764000002</v>
      </c>
    </row>
    <row r="301" spans="1:4" ht="15.75" x14ac:dyDescent="0.25">
      <c r="A301" s="1">
        <v>19</v>
      </c>
      <c r="B301" s="1">
        <v>128</v>
      </c>
      <c r="C301" s="1">
        <v>15</v>
      </c>
      <c r="D301" s="3">
        <f>B90^4*CURVAS!$B$4+B90^3*CURVAS!$C$4+B90^2*CURVAS!$D$4+B90^1*CURVAS!$E$4+B90^0*CURVAS!$F$4</f>
        <v>14.855702623999999</v>
      </c>
    </row>
    <row r="302" spans="1:4" ht="15.75" x14ac:dyDescent="0.25">
      <c r="A302" s="1">
        <v>19</v>
      </c>
      <c r="B302" s="1">
        <v>129</v>
      </c>
      <c r="C302" s="1">
        <v>15.1</v>
      </c>
      <c r="D302" s="3">
        <f>B91^4*CURVAS!$B$4+B91^3*CURVAS!$C$4+B91^2*CURVAS!$D$4+B91^1*CURVAS!$E$4+B91^0*CURVAS!$F$4</f>
        <v>15.060767124000002</v>
      </c>
    </row>
    <row r="303" spans="1:4" ht="15.75" x14ac:dyDescent="0.25">
      <c r="A303" s="1">
        <v>19</v>
      </c>
      <c r="B303" s="1">
        <v>130</v>
      </c>
      <c r="C303" s="1">
        <v>15.2</v>
      </c>
      <c r="D303" s="3">
        <f>B92^4*CURVAS!$B$4+B92^3*CURVAS!$C$4+B92^2*CURVAS!$D$4+B92^1*CURVAS!$E$4+B92^0*CURVAS!$F$4</f>
        <v>15.267939999999999</v>
      </c>
    </row>
    <row r="304" spans="1:4" ht="15.75" x14ac:dyDescent="0.25">
      <c r="A304" s="1">
        <v>19</v>
      </c>
      <c r="B304" s="1">
        <v>131</v>
      </c>
      <c r="C304" s="1">
        <v>15.3</v>
      </c>
      <c r="D304" s="3">
        <f>B93^4*CURVAS!$B$4+B93^3*CURVAS!$C$4+B93^2*CURVAS!$D$4+B93^1*CURVAS!$E$4+B93^0*CURVAS!$F$4</f>
        <v>15.477236084000001</v>
      </c>
    </row>
    <row r="305" spans="1:4" ht="15.75" x14ac:dyDescent="0.25">
      <c r="A305" s="1">
        <v>19</v>
      </c>
      <c r="B305" s="1">
        <v>132</v>
      </c>
      <c r="C305" s="1">
        <v>15.8</v>
      </c>
      <c r="D305" s="3">
        <f>B94^4*CURVAS!$B$4+B94^3*CURVAS!$C$4+B94^2*CURVAS!$D$4+B94^1*CURVAS!$E$4+B94^0*CURVAS!$F$4</f>
        <v>15.688670304000002</v>
      </c>
    </row>
    <row r="306" spans="1:4" ht="15.75" x14ac:dyDescent="0.25">
      <c r="A306" s="1">
        <v>19</v>
      </c>
      <c r="B306" s="1">
        <v>133</v>
      </c>
      <c r="C306" s="1">
        <v>15.9</v>
      </c>
      <c r="D306" s="3">
        <f>B95^4*CURVAS!$B$4+B95^3*CURVAS!$C$4+B95^2*CURVAS!$D$4+B95^1*CURVAS!$E$4+B95^0*CURVAS!$F$4</f>
        <v>15.902257683999999</v>
      </c>
    </row>
    <row r="307" spans="1:4" ht="15.75" x14ac:dyDescent="0.25">
      <c r="A307" s="1">
        <v>19</v>
      </c>
      <c r="B307" s="1">
        <v>134</v>
      </c>
      <c r="C307" s="1">
        <v>16</v>
      </c>
      <c r="D307" s="3">
        <f>B96^4*CURVAS!$B$4+B96^3*CURVAS!$C$4+B96^2*CURVAS!$D$4+B96^1*CURVAS!$E$4+B96^0*CURVAS!$F$4</f>
        <v>16.118013343999998</v>
      </c>
    </row>
    <row r="308" spans="1:4" ht="15.75" x14ac:dyDescent="0.25">
      <c r="A308" s="1">
        <v>19</v>
      </c>
      <c r="B308" s="1">
        <v>135</v>
      </c>
      <c r="C308" s="1">
        <v>16.100000000000001</v>
      </c>
      <c r="D308" s="3">
        <f>B97^4*CURVAS!$B$4+B97^3*CURVAS!$C$4+B97^2*CURVAS!$D$4+B97^1*CURVAS!$E$4+B97^0*CURVAS!$F$4</f>
        <v>16.335952500000001</v>
      </c>
    </row>
    <row r="309" spans="1:4" ht="15.75" x14ac:dyDescent="0.25">
      <c r="A309" s="1">
        <v>19</v>
      </c>
      <c r="B309" s="1">
        <v>136</v>
      </c>
      <c r="C309" s="1">
        <v>16.7</v>
      </c>
      <c r="D309" s="3">
        <f>B98^4*CURVAS!$B$4+B98^3*CURVAS!$C$4+B98^2*CURVAS!$D$4+B98^1*CURVAS!$E$4+B98^0*CURVAS!$F$4</f>
        <v>16.556090463999997</v>
      </c>
    </row>
    <row r="310" spans="1:4" ht="15.75" x14ac:dyDescent="0.25">
      <c r="A310" s="1">
        <v>19</v>
      </c>
      <c r="B310" s="1">
        <v>137</v>
      </c>
      <c r="C310" s="1">
        <v>16.8</v>
      </c>
      <c r="D310" s="3">
        <f>B99^4*CURVAS!$B$4+B99^3*CURVAS!$C$4+B99^2*CURVAS!$D$4+B99^1*CURVAS!$E$4+B99^0*CURVAS!$F$4</f>
        <v>16.778442644000002</v>
      </c>
    </row>
    <row r="311" spans="1:4" ht="15.75" x14ac:dyDescent="0.25">
      <c r="A311" s="1">
        <v>19</v>
      </c>
      <c r="B311" s="1">
        <v>138</v>
      </c>
      <c r="C311" s="1">
        <v>16.899999999999999</v>
      </c>
      <c r="D311" s="3">
        <f>B100^4*CURVAS!$B$4+B100^3*CURVAS!$C$4+B100^2*CURVAS!$D$4+B100^1*CURVAS!$E$4+B100^0*CURVAS!$F$4</f>
        <v>17.003024543999999</v>
      </c>
    </row>
    <row r="312" spans="1:4" ht="15.75" x14ac:dyDescent="0.25">
      <c r="A312" s="1">
        <v>19</v>
      </c>
      <c r="B312" s="1">
        <v>139</v>
      </c>
      <c r="C312" s="1">
        <v>17</v>
      </c>
      <c r="D312" s="3">
        <f>B101^4*CURVAS!$B$4+B101^3*CURVAS!$C$4+B101^2*CURVAS!$D$4+B101^1*CURVAS!$E$4+B101^0*CURVAS!$F$4</f>
        <v>17.229851763999999</v>
      </c>
    </row>
    <row r="313" spans="1:4" ht="15.75" x14ac:dyDescent="0.25">
      <c r="A313" s="1">
        <v>19</v>
      </c>
      <c r="B313" s="1">
        <v>140</v>
      </c>
      <c r="C313" s="1">
        <v>17.600000000000001</v>
      </c>
      <c r="D313" s="3">
        <f>B102^4*CURVAS!$B$4+B102^3*CURVAS!$C$4+B102^2*CURVAS!$D$4+B102^1*CURVAS!$E$4+B102^0*CURVAS!$F$4</f>
        <v>17.458940000000002</v>
      </c>
    </row>
    <row r="314" spans="1:4" ht="15.75" x14ac:dyDescent="0.25">
      <c r="A314" s="1">
        <v>19</v>
      </c>
      <c r="B314" s="1">
        <v>141</v>
      </c>
      <c r="C314" s="1">
        <v>17.7</v>
      </c>
      <c r="D314" s="3">
        <f>B103^4*CURVAS!$B$4+B103^3*CURVAS!$C$4+B103^2*CURVAS!$D$4+B103^1*CURVAS!$E$4+B103^0*CURVAS!$F$4</f>
        <v>17.690305043999999</v>
      </c>
    </row>
    <row r="315" spans="1:4" ht="15.75" x14ac:dyDescent="0.25">
      <c r="A315" s="1">
        <v>19</v>
      </c>
      <c r="B315" s="1">
        <v>142</v>
      </c>
      <c r="C315" s="1">
        <v>17.8</v>
      </c>
      <c r="D315" s="3">
        <f>B104^4*CURVAS!$B$4+B104^3*CURVAS!$C$4+B104^2*CURVAS!$D$4+B104^1*CURVAS!$E$4+B104^0*CURVAS!$F$4</f>
        <v>17.923962784</v>
      </c>
    </row>
    <row r="316" spans="1:4" ht="15.75" x14ac:dyDescent="0.25">
      <c r="A316" s="1">
        <v>19</v>
      </c>
      <c r="B316" s="1">
        <v>143</v>
      </c>
      <c r="C316" s="1">
        <v>17.899999999999999</v>
      </c>
      <c r="D316" s="3">
        <f>B105^4*CURVAS!$B$4+B105^3*CURVAS!$C$4+B105^2*CURVAS!$D$4+B105^1*CURVAS!$E$4+B105^0*CURVAS!$F$4</f>
        <v>18.159929204000001</v>
      </c>
    </row>
    <row r="317" spans="1:4" ht="15.75" x14ac:dyDescent="0.25">
      <c r="A317" s="1">
        <v>19</v>
      </c>
      <c r="B317" s="1">
        <v>144</v>
      </c>
      <c r="C317" s="1">
        <v>18.5</v>
      </c>
      <c r="D317" s="3">
        <f>B106^4*CURVAS!$B$4+B106^3*CURVAS!$C$4+B106^2*CURVAS!$D$4+B106^1*CURVAS!$E$4+B106^0*CURVAS!$F$4</f>
        <v>18.398220383999998</v>
      </c>
    </row>
    <row r="318" spans="1:4" ht="15.75" x14ac:dyDescent="0.25">
      <c r="A318" s="1">
        <v>19</v>
      </c>
      <c r="B318" s="1">
        <v>145</v>
      </c>
      <c r="C318" s="1">
        <v>18.600000000000001</v>
      </c>
      <c r="D318" s="3">
        <f>B107^4*CURVAS!$B$4+B107^3*CURVAS!$C$4+B107^2*CURVAS!$D$4+B107^1*CURVAS!$E$4+B107^0*CURVAS!$F$4</f>
        <v>18.638852500000002</v>
      </c>
    </row>
    <row r="319" spans="1:4" ht="15.75" x14ac:dyDescent="0.25">
      <c r="A319" s="1">
        <v>19</v>
      </c>
      <c r="B319" s="1">
        <v>146</v>
      </c>
      <c r="C319" s="1">
        <v>18.7</v>
      </c>
      <c r="D319" s="3">
        <f>B108^4*CURVAS!$B$4+B108^3*CURVAS!$C$4+B108^2*CURVAS!$D$4+B108^1*CURVAS!$E$4+B108^0*CURVAS!$F$4</f>
        <v>18.881841823999999</v>
      </c>
    </row>
    <row r="320" spans="1:4" ht="15.75" x14ac:dyDescent="0.25">
      <c r="A320" s="1">
        <v>19</v>
      </c>
      <c r="B320" s="1">
        <v>147</v>
      </c>
      <c r="C320" s="1">
        <v>18.899999999999999</v>
      </c>
      <c r="D320" s="3">
        <f>B109^4*CURVAS!$B$4+B109^3*CURVAS!$C$4+B109^2*CURVAS!$D$4+B109^1*CURVAS!$E$4+B109^0*CURVAS!$F$4</f>
        <v>19.127204724000002</v>
      </c>
    </row>
    <row r="321" spans="1:4" ht="15.75" x14ac:dyDescent="0.25">
      <c r="A321" s="1">
        <v>19</v>
      </c>
      <c r="B321" s="1">
        <v>148</v>
      </c>
      <c r="C321" s="1">
        <v>19.5</v>
      </c>
      <c r="D321" s="3">
        <f>B110^4*CURVAS!$B$4+B110^3*CURVAS!$C$4+B110^2*CURVAS!$D$4+B110^1*CURVAS!$E$4+B110^0*CURVAS!$F$4</f>
        <v>19.374957664</v>
      </c>
    </row>
    <row r="322" spans="1:4" ht="15.75" x14ac:dyDescent="0.25">
      <c r="A322" s="1">
        <v>19</v>
      </c>
      <c r="B322" s="1">
        <v>149</v>
      </c>
      <c r="C322" s="1">
        <v>19.600000000000001</v>
      </c>
      <c r="D322" s="3">
        <f>B111^4*CURVAS!$B$4+B111^3*CURVAS!$C$4+B111^2*CURVAS!$D$4+B111^1*CURVAS!$E$4+B111^0*CURVAS!$F$4</f>
        <v>19.625117204000002</v>
      </c>
    </row>
    <row r="323" spans="1:4" ht="15.75" x14ac:dyDescent="0.25">
      <c r="A323" s="1">
        <v>19</v>
      </c>
      <c r="B323" s="1">
        <v>150</v>
      </c>
      <c r="C323" s="1">
        <v>19.8</v>
      </c>
      <c r="D323" s="3">
        <f>B112^4*CURVAS!$B$4+B112^3*CURVAS!$C$4+B112^2*CURVAS!$D$4+B112^1*CURVAS!$E$4+B112^0*CURVAS!$F$4</f>
        <v>19.877700000000001</v>
      </c>
    </row>
    <row r="324" spans="1:4" ht="15.75" x14ac:dyDescent="0.25">
      <c r="A324" s="1">
        <v>19</v>
      </c>
      <c r="B324" s="1">
        <v>151</v>
      </c>
      <c r="C324" s="1">
        <v>19.899999999999999</v>
      </c>
      <c r="D324" s="3">
        <f>B113^4*CURVAS!$B$4+B113^3*CURVAS!$C$4+B113^2*CURVAS!$D$4+B113^1*CURVAS!$E$4+B113^0*CURVAS!$F$4</f>
        <v>20.132722804</v>
      </c>
    </row>
    <row r="325" spans="1:4" ht="15.75" x14ac:dyDescent="0.25">
      <c r="A325" s="1">
        <v>19</v>
      </c>
      <c r="B325" s="1">
        <v>152</v>
      </c>
      <c r="C325" s="1">
        <v>20.5</v>
      </c>
      <c r="D325" s="3">
        <f>B114^4*CURVAS!$B$4+B114^3*CURVAS!$C$4+B114^2*CURVAS!$D$4+B114^1*CURVAS!$E$4+B114^0*CURVAS!$F$4</f>
        <v>20.390202464000001</v>
      </c>
    </row>
    <row r="326" spans="1:4" ht="15.75" x14ac:dyDescent="0.25">
      <c r="A326" s="1">
        <v>19</v>
      </c>
      <c r="B326" s="1">
        <v>153</v>
      </c>
      <c r="C326" s="1">
        <v>20.6</v>
      </c>
      <c r="D326" s="3">
        <f>B115^4*CURVAS!$B$4+B115^3*CURVAS!$C$4+B115^2*CURVAS!$D$4+B115^1*CURVAS!$E$4+B115^0*CURVAS!$F$4</f>
        <v>20.650155923999996</v>
      </c>
    </row>
    <row r="327" spans="1:4" ht="15.75" x14ac:dyDescent="0.25">
      <c r="A327" s="1">
        <v>19</v>
      </c>
      <c r="B327" s="1">
        <v>154</v>
      </c>
      <c r="C327" s="1">
        <v>20.7</v>
      </c>
      <c r="D327" s="3">
        <f>B116^4*CURVAS!$B$4+B116^3*CURVAS!$C$4+B116^2*CURVAS!$D$4+B116^1*CURVAS!$E$4+B116^0*CURVAS!$F$4</f>
        <v>20.912600223999998</v>
      </c>
    </row>
    <row r="328" spans="1:4" ht="15.75" x14ac:dyDescent="0.25">
      <c r="A328" s="1">
        <v>19</v>
      </c>
      <c r="B328" s="1">
        <v>155</v>
      </c>
      <c r="C328" s="1">
        <v>20.9</v>
      </c>
      <c r="D328" s="3">
        <f>B117^4*CURVAS!$B$4+B117^3*CURVAS!$C$4+B117^2*CURVAS!$D$4+B117^1*CURVAS!$E$4+B117^0*CURVAS!$F$4</f>
        <v>21.177552500000001</v>
      </c>
    </row>
    <row r="329" spans="1:4" ht="15.75" x14ac:dyDescent="0.25">
      <c r="A329" s="1">
        <v>19</v>
      </c>
      <c r="B329" s="1">
        <v>156</v>
      </c>
      <c r="C329" s="1">
        <v>21.6</v>
      </c>
      <c r="D329" s="3">
        <f>B118^4*CURVAS!$B$4+B118^3*CURVAS!$C$4+B118^2*CURVAS!$D$4+B118^1*CURVAS!$E$4+B118^0*CURVAS!$F$4</f>
        <v>21.445029984000001</v>
      </c>
    </row>
    <row r="330" spans="1:4" ht="15.75" x14ac:dyDescent="0.25">
      <c r="A330" s="1">
        <v>19</v>
      </c>
      <c r="B330" s="1">
        <v>157</v>
      </c>
      <c r="C330" s="1">
        <v>21.7</v>
      </c>
      <c r="D330" s="3">
        <f>B119^4*CURVAS!$B$4+B119^3*CURVAS!$C$4+B119^2*CURVAS!$D$4+B119^1*CURVAS!$E$4+B119^0*CURVAS!$F$4</f>
        <v>21.715050003999998</v>
      </c>
    </row>
    <row r="331" spans="1:4" ht="15.75" x14ac:dyDescent="0.25">
      <c r="A331" s="1">
        <v>19</v>
      </c>
      <c r="B331" s="1">
        <v>158</v>
      </c>
      <c r="C331" s="1">
        <v>21.8</v>
      </c>
      <c r="D331" s="3">
        <f>B120^4*CURVAS!$B$4+B120^3*CURVAS!$C$4+B120^2*CURVAS!$D$4+B120^1*CURVAS!$E$4+B120^0*CURVAS!$F$4</f>
        <v>21.987629984000002</v>
      </c>
    </row>
    <row r="332" spans="1:4" ht="15.75" x14ac:dyDescent="0.25">
      <c r="A332" s="1">
        <v>19</v>
      </c>
      <c r="B332" s="1">
        <v>159</v>
      </c>
      <c r="C332" s="1">
        <v>21.9</v>
      </c>
      <c r="D332" s="3">
        <f>B121^4*CURVAS!$B$4+B121^3*CURVAS!$C$4+B121^2*CURVAS!$D$4+B121^1*CURVAS!$E$4+B121^0*CURVAS!$F$4</f>
        <v>22.262787443999997</v>
      </c>
    </row>
    <row r="333" spans="1:4" ht="15.75" x14ac:dyDescent="0.25">
      <c r="A333" s="1">
        <v>19</v>
      </c>
      <c r="B333" s="1">
        <v>160</v>
      </c>
      <c r="C333" s="1">
        <v>22.6</v>
      </c>
      <c r="D333" s="3">
        <f>B122^4*CURVAS!$B$4+B122^3*CURVAS!$C$4+B122^2*CURVAS!$D$4+B122^1*CURVAS!$E$4+B122^0*CURVAS!$F$4</f>
        <v>22.54054</v>
      </c>
    </row>
    <row r="334" spans="1:4" ht="15.75" x14ac:dyDescent="0.25">
      <c r="A334" s="1">
        <v>19</v>
      </c>
      <c r="B334" s="1">
        <v>161</v>
      </c>
      <c r="C334" s="1">
        <v>22.8</v>
      </c>
      <c r="D334" s="3">
        <f>B123^4*CURVAS!$B$4+B123^3*CURVAS!$C$4+B123^2*CURVAS!$D$4+B123^1*CURVAS!$E$4+B123^0*CURVAS!$F$4</f>
        <v>22.820905363999998</v>
      </c>
    </row>
    <row r="335" spans="1:4" ht="15.75" x14ac:dyDescent="0.25">
      <c r="A335" s="1">
        <v>19</v>
      </c>
      <c r="B335" s="1">
        <v>162</v>
      </c>
      <c r="C335" s="1">
        <v>23</v>
      </c>
      <c r="D335" s="3">
        <f>B124^4*CURVAS!$B$4+B124^3*CURVAS!$C$4+B124^2*CURVAS!$D$4+B124^1*CURVAS!$E$4+B124^0*CURVAS!$F$4</f>
        <v>23.103901344000001</v>
      </c>
    </row>
    <row r="336" spans="1:4" ht="15.75" x14ac:dyDescent="0.25">
      <c r="A336" s="1">
        <v>19</v>
      </c>
      <c r="B336" s="1">
        <v>163</v>
      </c>
      <c r="C336" s="1">
        <v>23.1</v>
      </c>
      <c r="D336" s="3">
        <f>B125^4*CURVAS!$B$4+B125^3*CURVAS!$C$4+B125^2*CURVAS!$D$4+B125^1*CURVAS!$E$4+B125^0*CURVAS!$F$4</f>
        <v>23.389545844000001</v>
      </c>
    </row>
    <row r="337" spans="1:4" ht="15.75" x14ac:dyDescent="0.25">
      <c r="A337" s="1">
        <v>19</v>
      </c>
      <c r="B337" s="1">
        <v>164</v>
      </c>
      <c r="C337" s="1">
        <v>23.8</v>
      </c>
      <c r="D337" s="3">
        <f>B126^4*CURVAS!$B$4+B126^3*CURVAS!$C$4+B126^2*CURVAS!$D$4+B126^1*CURVAS!$E$4+B126^0*CURVAS!$F$4</f>
        <v>23.677856863999999</v>
      </c>
    </row>
    <row r="338" spans="1:4" ht="15.75" x14ac:dyDescent="0.25">
      <c r="A338" s="1">
        <v>19</v>
      </c>
      <c r="B338" s="1">
        <v>165</v>
      </c>
      <c r="C338" s="1">
        <v>23.9</v>
      </c>
      <c r="D338" s="3">
        <f>B127^4*CURVAS!$B$4+B127^3*CURVAS!$C$4+B127^2*CURVAS!$D$4+B127^1*CURVAS!$E$4+B127^0*CURVAS!$F$4</f>
        <v>23.968852500000001</v>
      </c>
    </row>
    <row r="339" spans="1:4" ht="15.75" x14ac:dyDescent="0.25">
      <c r="A339" s="1">
        <v>19</v>
      </c>
      <c r="B339" s="1">
        <v>166</v>
      </c>
      <c r="C339" s="1">
        <v>24.1</v>
      </c>
      <c r="D339" s="3">
        <f>B128^4*CURVAS!$B$4+B128^3*CURVAS!$C$4+B128^2*CURVAS!$D$4+B128^1*CURVAS!$E$4+B128^0*CURVAS!$F$4</f>
        <v>24.262550944000001</v>
      </c>
    </row>
    <row r="340" spans="1:4" ht="15.75" x14ac:dyDescent="0.25">
      <c r="A340" s="1">
        <v>19</v>
      </c>
      <c r="B340" s="1">
        <v>167</v>
      </c>
      <c r="C340" s="1">
        <v>24.3</v>
      </c>
      <c r="D340" s="3">
        <f>B129^4*CURVAS!$B$4+B129^3*CURVAS!$C$4+B129^2*CURVAS!$D$4+B129^1*CURVAS!$E$4+B129^0*CURVAS!$F$4</f>
        <v>24.558970484</v>
      </c>
    </row>
    <row r="341" spans="1:4" ht="15.75" x14ac:dyDescent="0.25">
      <c r="A341" s="1">
        <v>19</v>
      </c>
      <c r="B341" s="1">
        <v>168</v>
      </c>
      <c r="C341" s="1">
        <v>25</v>
      </c>
      <c r="D341" s="3">
        <f>B130^4*CURVAS!$B$4+B130^3*CURVAS!$C$4+B130^2*CURVAS!$D$4+B130^1*CURVAS!$E$4+B130^0*CURVAS!$F$4</f>
        <v>24.858129504000001</v>
      </c>
    </row>
    <row r="342" spans="1:4" ht="15.75" x14ac:dyDescent="0.25">
      <c r="A342" s="1">
        <v>19</v>
      </c>
      <c r="B342" s="1">
        <v>169</v>
      </c>
      <c r="C342" s="1">
        <v>25.1</v>
      </c>
      <c r="D342" s="3">
        <f>B131^4*CURVAS!$B$4+B131^3*CURVAS!$C$4+B131^2*CURVAS!$D$4+B131^1*CURVAS!$E$4+B131^0*CURVAS!$F$4</f>
        <v>25.160046484000002</v>
      </c>
    </row>
    <row r="343" spans="1:4" ht="15.75" x14ac:dyDescent="0.25">
      <c r="A343" s="1">
        <v>19</v>
      </c>
      <c r="B343" s="1">
        <v>170</v>
      </c>
      <c r="C343" s="1">
        <v>25.3</v>
      </c>
      <c r="D343" s="3">
        <f>B132^4*CURVAS!$B$4+B132^3*CURVAS!$C$4+B132^2*CURVAS!$D$4+B132^1*CURVAS!$E$4+B132^0*CURVAS!$F$4</f>
        <v>25.464739999999999</v>
      </c>
    </row>
    <row r="344" spans="1:4" ht="15.75" x14ac:dyDescent="0.25">
      <c r="A344" s="1">
        <v>19</v>
      </c>
      <c r="B344" s="1">
        <v>171</v>
      </c>
      <c r="C344" s="1">
        <v>25.4</v>
      </c>
      <c r="D344" s="3">
        <f>B133^4*CURVAS!$B$4+B133^3*CURVAS!$C$4+B133^2*CURVAS!$D$4+B133^1*CURVAS!$E$4+B133^0*CURVAS!$F$4</f>
        <v>25.772228724000001</v>
      </c>
    </row>
    <row r="345" spans="1:4" ht="15.75" x14ac:dyDescent="0.25">
      <c r="A345" s="1">
        <v>19</v>
      </c>
      <c r="B345" s="1">
        <v>172</v>
      </c>
      <c r="C345" s="1">
        <v>26.1</v>
      </c>
      <c r="D345" s="3">
        <f>B134^4*CURVAS!$B$4+B134^3*CURVAS!$C$4+B134^2*CURVAS!$D$4+B134^1*CURVAS!$E$4+B134^0*CURVAS!$F$4</f>
        <v>26.082531424000003</v>
      </c>
    </row>
    <row r="346" spans="1:4" ht="15.75" x14ac:dyDescent="0.25">
      <c r="A346" s="1">
        <v>19</v>
      </c>
      <c r="B346" s="1">
        <v>173</v>
      </c>
      <c r="C346" s="1">
        <v>26.3</v>
      </c>
      <c r="D346" s="3">
        <f>B135^4*CURVAS!$B$4+B135^3*CURVAS!$C$4+B135^2*CURVAS!$D$4+B135^1*CURVAS!$E$4+B135^0*CURVAS!$F$4</f>
        <v>26.395666964000004</v>
      </c>
    </row>
    <row r="347" spans="1:4" ht="15.75" x14ac:dyDescent="0.25">
      <c r="A347" s="1">
        <v>19</v>
      </c>
      <c r="B347" s="1">
        <v>174</v>
      </c>
      <c r="C347" s="1">
        <v>26.4</v>
      </c>
      <c r="D347" s="3">
        <f>B136^4*CURVAS!$B$4+B136^3*CURVAS!$C$4+B136^2*CURVAS!$D$4+B136^1*CURVAS!$E$4+B136^0*CURVAS!$F$4</f>
        <v>26.711654303999996</v>
      </c>
    </row>
    <row r="348" spans="1:4" ht="15.75" x14ac:dyDescent="0.25">
      <c r="A348" s="1">
        <v>19</v>
      </c>
      <c r="B348" s="1">
        <v>175</v>
      </c>
      <c r="C348" s="1">
        <v>26.6</v>
      </c>
      <c r="D348" s="3">
        <f>B137^4*CURVAS!$B$4+B137^3*CURVAS!$C$4+B137^2*CURVAS!$D$4+B137^1*CURVAS!$E$4+B137^0*CURVAS!$F$4</f>
        <v>27.030512499999997</v>
      </c>
    </row>
    <row r="349" spans="1:4" ht="15.75" x14ac:dyDescent="0.25">
      <c r="A349" s="1">
        <v>19</v>
      </c>
      <c r="B349" s="1">
        <v>176</v>
      </c>
      <c r="C349" s="1">
        <v>27.4</v>
      </c>
      <c r="D349" s="3">
        <f>B138^4*CURVAS!$B$4+B138^3*CURVAS!$C$4+B138^2*CURVAS!$D$4+B138^1*CURVAS!$E$4+B138^0*CURVAS!$F$4</f>
        <v>27.352260703999999</v>
      </c>
    </row>
    <row r="350" spans="1:4" ht="15.75" x14ac:dyDescent="0.25">
      <c r="A350" s="1">
        <v>19</v>
      </c>
      <c r="B350" s="1">
        <v>177</v>
      </c>
      <c r="C350" s="1">
        <v>27.6</v>
      </c>
      <c r="D350" s="3">
        <f>B139^4*CURVAS!$B$4+B139^3*CURVAS!$C$4+B139^2*CURVAS!$D$4+B139^1*CURVAS!$E$4+B139^0*CURVAS!$F$4</f>
        <v>27.676918164000003</v>
      </c>
    </row>
    <row r="351" spans="1:4" ht="15.75" x14ac:dyDescent="0.25">
      <c r="A351" s="1">
        <v>19</v>
      </c>
      <c r="B351" s="1">
        <v>178</v>
      </c>
      <c r="C351" s="1">
        <v>27.8</v>
      </c>
      <c r="D351" s="3">
        <f>B140^4*CURVAS!$B$4+B140^3*CURVAS!$C$4+B140^2*CURVAS!$D$4+B140^1*CURVAS!$E$4+B140^0*CURVAS!$F$4</f>
        <v>28.004504223999998</v>
      </c>
    </row>
    <row r="352" spans="1:4" ht="15.75" x14ac:dyDescent="0.25">
      <c r="A352" s="1">
        <v>19</v>
      </c>
      <c r="B352" s="1">
        <v>179</v>
      </c>
      <c r="C352" s="1">
        <v>28</v>
      </c>
      <c r="D352" s="3">
        <f>B141^4*CURVAS!$B$4+B141^3*CURVAS!$C$4+B141^2*CURVAS!$D$4+B141^1*CURVAS!$E$4+B141^0*CURVAS!$F$4</f>
        <v>28.335038323999999</v>
      </c>
    </row>
    <row r="353" spans="1:4" ht="15.75" x14ac:dyDescent="0.25">
      <c r="A353" s="1">
        <v>19</v>
      </c>
      <c r="B353" s="1">
        <v>180</v>
      </c>
      <c r="C353" s="1">
        <v>28.6</v>
      </c>
      <c r="D353" s="3">
        <f>B142^4*CURVAS!$B$4+B142^3*CURVAS!$C$4+B142^2*CURVAS!$D$4+B142^1*CURVAS!$E$4+B142^0*CURVAS!$F$4</f>
        <v>28.668539999999997</v>
      </c>
    </row>
    <row r="354" spans="1:4" ht="15.75" x14ac:dyDescent="0.25">
      <c r="A354" s="1">
        <v>19</v>
      </c>
      <c r="B354" s="1">
        <v>181</v>
      </c>
      <c r="C354" s="1">
        <v>28.9</v>
      </c>
      <c r="D354" s="3">
        <f>B143^4*CURVAS!$B$4+B143^3*CURVAS!$C$4+B143^2*CURVAS!$D$4+B143^1*CURVAS!$E$4+B143^0*CURVAS!$F$4</f>
        <v>29.005028883999998</v>
      </c>
    </row>
    <row r="355" spans="1:4" ht="15.75" x14ac:dyDescent="0.25">
      <c r="A355" s="1">
        <v>19</v>
      </c>
      <c r="B355" s="1">
        <v>182</v>
      </c>
      <c r="C355" s="1">
        <v>29.1</v>
      </c>
      <c r="D355" s="3">
        <f>B144^4*CURVAS!$B$4+B144^3*CURVAS!$C$4+B144^2*CURVAS!$D$4+B144^1*CURVAS!$E$4+B144^0*CURVAS!$F$4</f>
        <v>29.344524703999998</v>
      </c>
    </row>
    <row r="356" spans="1:4" ht="15.75" x14ac:dyDescent="0.25">
      <c r="A356" s="1">
        <v>19</v>
      </c>
      <c r="B356" s="1">
        <v>183</v>
      </c>
      <c r="C356" s="1">
        <v>29.3</v>
      </c>
      <c r="D356" s="3">
        <f>B145^4*CURVAS!$B$4+B145^3*CURVAS!$C$4+B145^2*CURVAS!$D$4+B145^1*CURVAS!$E$4+B145^0*CURVAS!$F$4</f>
        <v>29.687047283999998</v>
      </c>
    </row>
    <row r="357" spans="1:4" ht="15.75" x14ac:dyDescent="0.25">
      <c r="A357" s="1">
        <v>19</v>
      </c>
      <c r="B357" s="1">
        <v>184</v>
      </c>
      <c r="C357" s="1">
        <v>30.1</v>
      </c>
      <c r="D357" s="3">
        <f>B146^4*CURVAS!$B$4+B146^3*CURVAS!$C$4+B146^2*CURVAS!$D$4+B146^1*CURVAS!$E$4+B146^0*CURVAS!$F$4</f>
        <v>30.032616544</v>
      </c>
    </row>
    <row r="358" spans="1:4" ht="15.75" x14ac:dyDescent="0.25">
      <c r="A358" s="1">
        <v>19</v>
      </c>
      <c r="B358" s="1">
        <v>185</v>
      </c>
      <c r="C358" s="1">
        <v>30.3</v>
      </c>
      <c r="D358" s="3">
        <f>B147^4*CURVAS!$B$4+B147^3*CURVAS!$C$4+B147^2*CURVAS!$D$4+B147^1*CURVAS!$E$4+B147^0*CURVAS!$F$4</f>
        <v>30.381252500000002</v>
      </c>
    </row>
    <row r="359" spans="1:4" ht="15.75" x14ac:dyDescent="0.25">
      <c r="A359" s="1">
        <v>19</v>
      </c>
      <c r="B359" s="1">
        <v>186</v>
      </c>
      <c r="C359" s="1">
        <v>30.4</v>
      </c>
      <c r="D359" s="3">
        <f>B148^4*CURVAS!$B$4+B148^3*CURVAS!$C$4+B148^2*CURVAS!$D$4+B148^1*CURVAS!$E$4+B148^0*CURVAS!$F$4</f>
        <v>30.732975264</v>
      </c>
    </row>
    <row r="360" spans="1:4" ht="15.75" x14ac:dyDescent="0.25">
      <c r="A360" s="1">
        <v>19</v>
      </c>
      <c r="B360" s="1">
        <v>187</v>
      </c>
      <c r="C360" s="1">
        <v>30.6</v>
      </c>
      <c r="D360" s="3">
        <f>B149^4*CURVAS!$B$4+B149^3*CURVAS!$C$4+B149^2*CURVAS!$D$4+B149^1*CURVAS!$E$4+B149^0*CURVAS!$F$4</f>
        <v>31.087805044</v>
      </c>
    </row>
    <row r="361" spans="1:4" ht="15.75" x14ac:dyDescent="0.25">
      <c r="A361" s="1">
        <v>19</v>
      </c>
      <c r="B361" s="1">
        <v>188</v>
      </c>
      <c r="C361" s="1">
        <v>31.5</v>
      </c>
      <c r="D361" s="3">
        <f>B150^4*CURVAS!$B$4+B150^3*CURVAS!$C$4+B150^2*CURVAS!$D$4+B150^1*CURVAS!$E$4+B150^0*CURVAS!$F$4</f>
        <v>31.445762144</v>
      </c>
    </row>
    <row r="362" spans="1:4" ht="15.75" x14ac:dyDescent="0.25">
      <c r="A362" s="1">
        <v>19</v>
      </c>
      <c r="B362" s="1">
        <v>189</v>
      </c>
      <c r="C362" s="1">
        <v>31.7</v>
      </c>
      <c r="D362" s="3">
        <f>B151^4*CURVAS!$B$4+B151^3*CURVAS!$C$4+B151^2*CURVAS!$D$4+B151^1*CURVAS!$E$4+B151^0*CURVAS!$F$4</f>
        <v>31.806866964000001</v>
      </c>
    </row>
    <row r="363" spans="1:4" ht="15.75" x14ac:dyDescent="0.25">
      <c r="A363" s="1">
        <v>19</v>
      </c>
      <c r="B363" s="1">
        <v>190</v>
      </c>
      <c r="C363" s="1">
        <v>31.9</v>
      </c>
      <c r="D363" s="3">
        <f>B152^4*CURVAS!$B$4+B152^3*CURVAS!$C$4+B152^2*CURVAS!$D$4+B152^1*CURVAS!$E$4+B152^0*CURVAS!$F$4</f>
        <v>32.171140000000001</v>
      </c>
    </row>
    <row r="364" spans="1:4" ht="15.75" x14ac:dyDescent="0.25">
      <c r="A364" s="1">
        <v>19</v>
      </c>
      <c r="B364" s="1">
        <v>191</v>
      </c>
      <c r="C364" s="1">
        <v>32</v>
      </c>
      <c r="D364" s="3">
        <f>B153^4*CURVAS!$B$4+B153^3*CURVAS!$C$4+B153^2*CURVAS!$D$4+B153^1*CURVAS!$E$4+B153^0*CURVAS!$F$4</f>
        <v>32.538601843999999</v>
      </c>
    </row>
    <row r="365" spans="1:4" ht="15.75" x14ac:dyDescent="0.25">
      <c r="A365" s="1">
        <v>19</v>
      </c>
      <c r="B365" s="1">
        <v>192</v>
      </c>
      <c r="C365" s="1">
        <v>32.9</v>
      </c>
      <c r="D365" s="3">
        <f>B154^4*CURVAS!$B$4+B154^3*CURVAS!$C$4+B154^2*CURVAS!$D$4+B154^1*CURVAS!$E$4+B154^0*CURVAS!$F$4</f>
        <v>32.909273184000007</v>
      </c>
    </row>
    <row r="366" spans="1:4" ht="15.75" x14ac:dyDescent="0.25">
      <c r="A366" s="1">
        <v>19</v>
      </c>
      <c r="B366" s="1">
        <v>193</v>
      </c>
      <c r="C366" s="1">
        <v>33.1</v>
      </c>
      <c r="D366" s="3">
        <f>B155^4*CURVAS!$B$4+B155^3*CURVAS!$C$4+B155^2*CURVAS!$D$4+B155^1*CURVAS!$E$4+B155^0*CURVAS!$F$4</f>
        <v>33.283174804000005</v>
      </c>
    </row>
    <row r="367" spans="1:4" ht="15.75" x14ac:dyDescent="0.25">
      <c r="A367" s="1">
        <v>19</v>
      </c>
      <c r="B367" s="1">
        <v>194</v>
      </c>
      <c r="C367" s="1">
        <v>33.200000000000003</v>
      </c>
      <c r="D367" s="3">
        <f>B156^4*CURVAS!$B$4+B156^3*CURVAS!$C$4+B156^2*CURVAS!$D$4+B156^1*CURVAS!$E$4+B156^0*CURVAS!$F$4</f>
        <v>33.660327584000001</v>
      </c>
    </row>
    <row r="368" spans="1:4" ht="15.75" x14ac:dyDescent="0.25">
      <c r="A368" s="1">
        <v>19</v>
      </c>
      <c r="B368" s="1">
        <v>195</v>
      </c>
      <c r="C368" s="1">
        <v>33.5</v>
      </c>
      <c r="D368" s="3">
        <f>B157^4*CURVAS!$B$4+B157^3*CURVAS!$C$4+B157^2*CURVAS!$D$4+B157^1*CURVAS!$E$4+B157^0*CURVAS!$F$4</f>
        <v>34.040752500000004</v>
      </c>
    </row>
    <row r="369" spans="1:4" ht="15.75" x14ac:dyDescent="0.25">
      <c r="A369" s="1">
        <v>19</v>
      </c>
      <c r="B369" s="1">
        <v>196</v>
      </c>
      <c r="C369" s="1">
        <v>34.4</v>
      </c>
      <c r="D369" s="3">
        <f>B158^4*CURVAS!$B$4+B158^3*CURVAS!$C$4+B158^2*CURVAS!$D$4+B158^1*CURVAS!$E$4+B158^0*CURVAS!$F$4</f>
        <v>34.424470624000008</v>
      </c>
    </row>
    <row r="370" spans="1:4" ht="15.75" x14ac:dyDescent="0.25">
      <c r="A370" s="1">
        <v>19</v>
      </c>
      <c r="B370" s="1">
        <v>197</v>
      </c>
      <c r="C370" s="1">
        <v>34.6</v>
      </c>
      <c r="D370" s="3">
        <f>B159^4*CURVAS!$B$4+B159^3*CURVAS!$C$4+B159^2*CURVAS!$D$4+B159^1*CURVAS!$E$4+B159^0*CURVAS!$F$4</f>
        <v>34.811503123999998</v>
      </c>
    </row>
    <row r="371" spans="1:4" ht="15.75" x14ac:dyDescent="0.25">
      <c r="A371" s="1">
        <v>19</v>
      </c>
      <c r="B371" s="1">
        <v>198</v>
      </c>
      <c r="C371" s="1">
        <v>34.799999999999997</v>
      </c>
      <c r="D371" s="3">
        <f>B160^4*CURVAS!$B$4+B160^3*CURVAS!$C$4+B160^2*CURVAS!$D$4+B160^1*CURVAS!$E$4+B160^0*CURVAS!$F$4</f>
        <v>35.201871264000005</v>
      </c>
    </row>
    <row r="372" spans="1:4" ht="15.75" x14ac:dyDescent="0.25">
      <c r="A372" s="1">
        <v>19</v>
      </c>
      <c r="B372" s="1">
        <v>199</v>
      </c>
      <c r="C372" s="1">
        <v>35</v>
      </c>
      <c r="D372" s="3">
        <f>B161^4*CURVAS!$B$4+B161^3*CURVAS!$C$4+B161^2*CURVAS!$D$4+B161^1*CURVAS!$E$4+B161^0*CURVAS!$F$4</f>
        <v>35.595596404000005</v>
      </c>
    </row>
    <row r="373" spans="1:4" ht="15.75" x14ac:dyDescent="0.25">
      <c r="A373" s="1">
        <v>19</v>
      </c>
      <c r="B373" s="1">
        <v>200</v>
      </c>
      <c r="C373" s="1">
        <v>35.9</v>
      </c>
      <c r="D373" s="3">
        <f>B162^4*CURVAS!$B$4+B162^3*CURVAS!$C$4+B162^2*CURVAS!$D$4+B162^1*CURVAS!$E$4+B162^0*CURVAS!$F$4</f>
        <v>35.992700000000006</v>
      </c>
    </row>
    <row r="374" spans="1:4" ht="15.75" x14ac:dyDescent="0.25">
      <c r="A374" s="1">
        <v>19</v>
      </c>
      <c r="B374" s="1">
        <v>201</v>
      </c>
      <c r="C374" s="1">
        <v>36.200000000000003</v>
      </c>
      <c r="D374" s="3">
        <f>B163^4*CURVAS!$B$4+B163^3*CURVAS!$C$4+B163^2*CURVAS!$D$4+B163^1*CURVAS!$E$4+B163^0*CURVAS!$F$4</f>
        <v>36.393203604000007</v>
      </c>
    </row>
    <row r="375" spans="1:4" ht="15.75" x14ac:dyDescent="0.25">
      <c r="A375" s="1">
        <v>19</v>
      </c>
      <c r="B375" s="1">
        <v>202</v>
      </c>
      <c r="C375" s="1">
        <v>36.4</v>
      </c>
      <c r="D375" s="3">
        <f>B164^4*CURVAS!$B$4+B164^3*CURVAS!$C$4+B164^2*CURVAS!$D$4+B164^1*CURVAS!$E$4+B164^0*CURVAS!$F$4</f>
        <v>36.797128864000008</v>
      </c>
    </row>
    <row r="376" spans="1:4" ht="15.75" x14ac:dyDescent="0.25">
      <c r="A376" s="1">
        <v>19</v>
      </c>
      <c r="B376" s="1">
        <v>203</v>
      </c>
      <c r="C376" s="1">
        <v>36.5</v>
      </c>
      <c r="D376" s="3">
        <f>B165^4*CURVAS!$B$4+B165^3*CURVAS!$C$4+B165^2*CURVAS!$D$4+B165^1*CURVAS!$E$4+B165^0*CURVAS!$F$4</f>
        <v>37.204497524000004</v>
      </c>
    </row>
    <row r="377" spans="1:4" ht="15.75" x14ac:dyDescent="0.25">
      <c r="A377" s="1">
        <v>19</v>
      </c>
      <c r="B377" s="1">
        <v>204</v>
      </c>
      <c r="C377" s="1">
        <v>37.5</v>
      </c>
      <c r="D377" s="3">
        <f>B166^4*CURVAS!$B$4+B166^3*CURVAS!$C$4+B166^2*CURVAS!$D$4+B166^1*CURVAS!$E$4+B166^0*CURVAS!$F$4</f>
        <v>37.615331424000004</v>
      </c>
    </row>
    <row r="378" spans="1:4" ht="15.75" x14ac:dyDescent="0.25">
      <c r="A378" s="1">
        <v>19</v>
      </c>
      <c r="B378" s="1">
        <v>205</v>
      </c>
      <c r="C378" s="1">
        <v>37.700000000000003</v>
      </c>
      <c r="D378" s="3">
        <f>B167^4*CURVAS!$B$4+B167^3*CURVAS!$C$4+B167^2*CURVAS!$D$4+B167^1*CURVAS!$E$4+B167^0*CURVAS!$F$4</f>
        <v>38.029652500000005</v>
      </c>
    </row>
    <row r="379" spans="1:4" ht="15.75" x14ac:dyDescent="0.25">
      <c r="A379" s="1">
        <v>19</v>
      </c>
      <c r="B379" s="1">
        <v>206</v>
      </c>
      <c r="C379" s="1">
        <v>37.9</v>
      </c>
      <c r="D379" s="3">
        <f>B168^4*CURVAS!$B$4+B168^3*CURVAS!$C$4+B168^2*CURVAS!$D$4+B168^1*CURVAS!$E$4+B168^0*CURVAS!$F$4</f>
        <v>38.447482784000002</v>
      </c>
    </row>
    <row r="380" spans="1:4" ht="15.75" x14ac:dyDescent="0.25">
      <c r="A380" s="1">
        <v>19</v>
      </c>
      <c r="B380" s="1">
        <v>207</v>
      </c>
      <c r="C380" s="1">
        <v>38.1</v>
      </c>
      <c r="D380" s="3">
        <f>B169^4*CURVAS!$B$4+B169^3*CURVAS!$C$4+B169^2*CURVAS!$D$4+B169^1*CURVAS!$E$4+B169^0*CURVAS!$F$4</f>
        <v>38.868844404000001</v>
      </c>
    </row>
    <row r="381" spans="1:4" ht="15.75" x14ac:dyDescent="0.25">
      <c r="A381" s="1">
        <v>19</v>
      </c>
      <c r="B381" s="1">
        <v>208</v>
      </c>
      <c r="C381" s="1">
        <v>39.200000000000003</v>
      </c>
      <c r="D381" s="3">
        <f>B170^4*CURVAS!$B$4+B170^3*CURVAS!$C$4+B170^2*CURVAS!$D$4+B170^1*CURVAS!$E$4+B170^0*CURVAS!$F$4</f>
        <v>39.293759584</v>
      </c>
    </row>
    <row r="382" spans="1:4" ht="15.75" x14ac:dyDescent="0.25">
      <c r="A382" s="1">
        <v>19</v>
      </c>
      <c r="B382" s="1">
        <v>209</v>
      </c>
      <c r="C382" s="1">
        <v>39.4</v>
      </c>
      <c r="D382" s="3">
        <f>B171^4*CURVAS!$B$4+B171^3*CURVAS!$C$4+B171^2*CURVAS!$D$4+B171^1*CURVAS!$E$4+B171^0*CURVAS!$F$4</f>
        <v>39.722250644000006</v>
      </c>
    </row>
    <row r="383" spans="1:4" ht="15.75" x14ac:dyDescent="0.25">
      <c r="A383" s="1">
        <v>19</v>
      </c>
      <c r="B383" s="1">
        <v>210</v>
      </c>
      <c r="C383" s="1">
        <v>39.700000000000003</v>
      </c>
      <c r="D383" s="3">
        <f>B172^4*CURVAS!$B$4+B172^3*CURVAS!$C$4+B172^2*CURVAS!$D$4+B172^1*CURVAS!$E$4+B172^0*CURVAS!$F$4</f>
        <v>40.154340000000005</v>
      </c>
    </row>
    <row r="384" spans="1:4" ht="15.75" x14ac:dyDescent="0.25">
      <c r="A384" s="1">
        <v>19</v>
      </c>
      <c r="B384" s="1">
        <v>211</v>
      </c>
      <c r="C384" s="1">
        <v>39.799999999999997</v>
      </c>
      <c r="D384" s="3">
        <f>B173^4*CURVAS!$B$4+B173^3*CURVAS!$C$4+B173^2*CURVAS!$D$4+B173^1*CURVAS!$E$4+B173^0*CURVAS!$F$4</f>
        <v>40.590050164000004</v>
      </c>
    </row>
    <row r="385" spans="1:4" ht="15.75" x14ac:dyDescent="0.25">
      <c r="A385" s="1">
        <v>19</v>
      </c>
      <c r="B385" s="1">
        <v>212</v>
      </c>
      <c r="C385" s="1">
        <v>41</v>
      </c>
      <c r="D385" s="3">
        <f>B174^4*CURVAS!$B$4+B174^3*CURVAS!$C$4+B174^2*CURVAS!$D$4+B174^1*CURVAS!$E$4+B174^0*CURVAS!$F$4</f>
        <v>41.029403744000007</v>
      </c>
    </row>
    <row r="386" spans="1:4" ht="15.75" x14ac:dyDescent="0.25">
      <c r="A386" s="1">
        <v>19</v>
      </c>
      <c r="B386" s="1">
        <v>213</v>
      </c>
      <c r="C386" s="1">
        <v>41.3</v>
      </c>
      <c r="D386" s="3">
        <f>B175^4*CURVAS!$B$4+B175^3*CURVAS!$C$4+B175^2*CURVAS!$D$4+B175^1*CURVAS!$E$4+B175^0*CURVAS!$F$4</f>
        <v>41.472423444000007</v>
      </c>
    </row>
    <row r="387" spans="1:4" ht="15.75" x14ac:dyDescent="0.25">
      <c r="A387" s="1">
        <v>19</v>
      </c>
      <c r="B387" s="1">
        <v>214</v>
      </c>
      <c r="C387" s="1">
        <v>41.4</v>
      </c>
      <c r="D387" s="3">
        <f>B176^4*CURVAS!$B$4+B176^3*CURVAS!$C$4+B176^2*CURVAS!$D$4+B176^1*CURVAS!$E$4+B176^0*CURVAS!$F$4</f>
        <v>41.919132064000003</v>
      </c>
    </row>
    <row r="388" spans="1:4" ht="15.75" x14ac:dyDescent="0.25">
      <c r="A388" s="1">
        <v>19</v>
      </c>
      <c r="B388" s="1">
        <v>215</v>
      </c>
      <c r="C388" s="1">
        <v>41.6</v>
      </c>
      <c r="D388" s="3">
        <f>B177^4*CURVAS!$B$4+B177^3*CURVAS!$C$4+B177^2*CURVAS!$D$4+B177^1*CURVAS!$E$4+B177^0*CURVAS!$F$4</f>
        <v>42.369552500000005</v>
      </c>
    </row>
    <row r="389" spans="1:4" ht="15.75" x14ac:dyDescent="0.25">
      <c r="A389" s="1">
        <v>19</v>
      </c>
      <c r="B389" s="1">
        <v>216</v>
      </c>
      <c r="C389" s="1">
        <v>42.6</v>
      </c>
      <c r="D389" s="3">
        <f>B178^4*CURVAS!$B$4+B178^3*CURVAS!$C$4+B178^2*CURVAS!$D$4+B178^1*CURVAS!$E$4+B178^0*CURVAS!$F$4</f>
        <v>42.823707743999996</v>
      </c>
    </row>
    <row r="390" spans="1:4" ht="15.75" x14ac:dyDescent="0.25">
      <c r="A390" s="1">
        <v>19</v>
      </c>
      <c r="B390" s="1">
        <v>217</v>
      </c>
      <c r="C390" s="1">
        <v>42.9</v>
      </c>
      <c r="D390" s="3">
        <f>B179^4*CURVAS!$B$4+B179^3*CURVAS!$C$4+B179^2*CURVAS!$D$4+B179^1*CURVAS!$E$4+B179^0*CURVAS!$F$4</f>
        <v>43.281620883999999</v>
      </c>
    </row>
    <row r="391" spans="1:4" ht="15.75" x14ac:dyDescent="0.25">
      <c r="A391" s="1">
        <v>19</v>
      </c>
      <c r="B391" s="1">
        <v>218</v>
      </c>
      <c r="C391" s="1">
        <v>43.1</v>
      </c>
      <c r="D391" s="3">
        <f>B180^4*CURVAS!$B$4+B180^3*CURVAS!$C$4+B180^2*CURVAS!$D$4+B180^1*CURVAS!$E$4+B180^0*CURVAS!$F$4</f>
        <v>43.743315104000004</v>
      </c>
    </row>
    <row r="392" spans="1:4" ht="15.75" x14ac:dyDescent="0.25">
      <c r="A392" s="1">
        <v>19</v>
      </c>
      <c r="B392" s="1">
        <v>219</v>
      </c>
      <c r="C392" s="1">
        <v>43.3</v>
      </c>
      <c r="D392" s="3">
        <f>B181^4*CURVAS!$B$4+B181^3*CURVAS!$C$4+B181^2*CURVAS!$D$4+B181^1*CURVAS!$E$4+B181^0*CURVAS!$F$4</f>
        <v>44.208813684000006</v>
      </c>
    </row>
    <row r="393" spans="1:4" ht="15.75" x14ac:dyDescent="0.25">
      <c r="A393" s="1">
        <v>19</v>
      </c>
      <c r="B393" s="1">
        <v>220</v>
      </c>
      <c r="C393" s="1">
        <v>44.5</v>
      </c>
      <c r="D393" s="3">
        <f>B182^4*CURVAS!$B$4+B182^3*CURVAS!$C$4+B182^2*CURVAS!$D$4+B182^1*CURVAS!$E$4+B182^0*CURVAS!$F$4</f>
        <v>44.678139999999999</v>
      </c>
    </row>
    <row r="394" spans="1:4" ht="15.75" x14ac:dyDescent="0.25">
      <c r="A394" s="1">
        <v>19</v>
      </c>
      <c r="B394" s="1">
        <v>221</v>
      </c>
      <c r="C394" s="1">
        <v>44.7</v>
      </c>
      <c r="D394" s="3">
        <f>B183^4*CURVAS!$B$4+B183^3*CURVAS!$C$4+B183^2*CURVAS!$D$4+B183^1*CURVAS!$E$4+B183^0*CURVAS!$F$4</f>
        <v>45.151317524000007</v>
      </c>
    </row>
    <row r="395" spans="1:4" ht="15.75" x14ac:dyDescent="0.25">
      <c r="A395" s="1">
        <v>19</v>
      </c>
      <c r="B395" s="1">
        <v>222</v>
      </c>
      <c r="C395" s="1">
        <v>44.9</v>
      </c>
      <c r="D395" s="3">
        <f>B184^4*CURVAS!$B$4+B184^3*CURVAS!$C$4+B184^2*CURVAS!$D$4+B184^1*CURVAS!$E$4+B184^0*CURVAS!$F$4</f>
        <v>45.628369824000004</v>
      </c>
    </row>
    <row r="396" spans="1:4" ht="15.75" x14ac:dyDescent="0.25">
      <c r="A396" s="1">
        <v>19</v>
      </c>
      <c r="B396" s="1">
        <v>223</v>
      </c>
      <c r="C396" s="1">
        <v>45.1</v>
      </c>
      <c r="D396" s="3">
        <f>B185^4*CURVAS!$B$4+B185^3*CURVAS!$C$4+B185^2*CURVAS!$D$4+B185^1*CURVAS!$E$4+B185^0*CURVAS!$F$4</f>
        <v>46.109320564000001</v>
      </c>
    </row>
    <row r="397" spans="1:4" ht="15.75" x14ac:dyDescent="0.25">
      <c r="A397" s="1">
        <v>19</v>
      </c>
      <c r="B397" s="1">
        <v>224</v>
      </c>
      <c r="C397" s="1">
        <v>46.3</v>
      </c>
      <c r="D397" s="3">
        <f>B186^4*CURVAS!$B$4+B186^3*CURVAS!$C$4+B186^2*CURVAS!$D$4+B186^1*CURVAS!$E$4+B186^0*CURVAS!$F$4</f>
        <v>46.594193504000003</v>
      </c>
    </row>
    <row r="398" spans="1:4" ht="15.75" x14ac:dyDescent="0.25">
      <c r="A398" s="1">
        <v>19</v>
      </c>
      <c r="B398" s="1">
        <v>225</v>
      </c>
      <c r="C398" s="1">
        <v>46.6</v>
      </c>
      <c r="D398" s="3">
        <f>B187^4*CURVAS!$B$4+B187^3*CURVAS!$C$4+B187^2*CURVAS!$D$4+B187^1*CURVAS!$E$4+B187^0*CURVAS!$F$4</f>
        <v>47.083012500000002</v>
      </c>
    </row>
    <row r="399" spans="1:4" ht="15.75" x14ac:dyDescent="0.25">
      <c r="A399" s="1">
        <v>19</v>
      </c>
      <c r="B399" s="1">
        <v>226</v>
      </c>
      <c r="C399" s="1">
        <v>46.9</v>
      </c>
      <c r="D399" s="3">
        <f>B188^4*CURVAS!$B$4+B188^3*CURVAS!$C$4+B188^2*CURVAS!$D$4+B188^1*CURVAS!$E$4+B188^0*CURVAS!$F$4</f>
        <v>47.575801503999998</v>
      </c>
    </row>
    <row r="400" spans="1:4" ht="15.75" x14ac:dyDescent="0.25">
      <c r="A400" s="1">
        <v>19</v>
      </c>
      <c r="B400" s="1">
        <v>227</v>
      </c>
      <c r="C400" s="1">
        <v>47.1</v>
      </c>
      <c r="D400" s="3">
        <f>B189^4*CURVAS!$B$4+B189^3*CURVAS!$C$4+B189^2*CURVAS!$D$4+B189^1*CURVAS!$E$4+B189^0*CURVAS!$F$4</f>
        <v>48.07258456400001</v>
      </c>
    </row>
    <row r="401" spans="1:4" ht="15.75" x14ac:dyDescent="0.25">
      <c r="A401" s="1">
        <v>19</v>
      </c>
      <c r="B401" s="1">
        <v>228</v>
      </c>
      <c r="C401" s="1">
        <v>48.3</v>
      </c>
      <c r="D401" s="3">
        <f>B190^4*CURVAS!$B$4+B190^3*CURVAS!$C$4+B190^2*CURVAS!$D$4+B190^1*CURVAS!$E$4+B190^0*CURVAS!$F$4</f>
        <v>48.573385824000006</v>
      </c>
    </row>
    <row r="402" spans="1:4" ht="15.75" x14ac:dyDescent="0.25">
      <c r="A402" s="1">
        <v>19</v>
      </c>
      <c r="B402" s="1">
        <v>229</v>
      </c>
      <c r="C402" s="1">
        <v>48.5</v>
      </c>
      <c r="D402" s="3">
        <f>B191^4*CURVAS!$B$4+B191^3*CURVAS!$C$4+B191^2*CURVAS!$D$4+B191^1*CURVAS!$E$4+B191^0*CURVAS!$F$4</f>
        <v>49.078229524000008</v>
      </c>
    </row>
    <row r="403" spans="1:4" ht="15.75" x14ac:dyDescent="0.25">
      <c r="A403" s="1">
        <v>19</v>
      </c>
      <c r="B403" s="1">
        <v>230</v>
      </c>
      <c r="C403" s="1">
        <v>48.7</v>
      </c>
      <c r="D403" s="3">
        <f>B192^4*CURVAS!$B$4+B192^3*CURVAS!$C$4+B192^2*CURVAS!$D$4+B192^1*CURVAS!$E$4+B192^0*CURVAS!$F$4</f>
        <v>49.587140000000005</v>
      </c>
    </row>
    <row r="404" spans="1:4" ht="15.75" x14ac:dyDescent="0.25">
      <c r="A404" s="1">
        <v>19</v>
      </c>
      <c r="B404" s="1">
        <v>231</v>
      </c>
      <c r="C404" s="1">
        <v>49</v>
      </c>
      <c r="D404" s="3">
        <f>B193^4*CURVAS!$B$4+B193^3*CURVAS!$C$4+B193^2*CURVAS!$D$4+B193^1*CURVAS!$E$4+B193^0*CURVAS!$F$4</f>
        <v>50.100141684000008</v>
      </c>
    </row>
    <row r="405" spans="1:4" ht="15.75" x14ac:dyDescent="0.25">
      <c r="A405" s="1">
        <v>19</v>
      </c>
      <c r="B405" s="1">
        <v>232</v>
      </c>
      <c r="C405" s="1">
        <v>50.2</v>
      </c>
      <c r="D405" s="3">
        <f>B194^4*CURVAS!$B$4+B194^3*CURVAS!$C$4+B194^2*CURVAS!$D$4+B194^1*CURVAS!$E$4+B194^0*CURVAS!$F$4</f>
        <v>50.617259104000006</v>
      </c>
    </row>
    <row r="406" spans="1:4" ht="15.75" x14ac:dyDescent="0.25">
      <c r="A406" s="1">
        <v>19</v>
      </c>
      <c r="B406" s="1">
        <v>233</v>
      </c>
      <c r="C406" s="1">
        <v>50.6</v>
      </c>
      <c r="D406" s="3">
        <f>B195^4*CURVAS!$B$4+B195^3*CURVAS!$C$4+B195^2*CURVAS!$D$4+B195^1*CURVAS!$E$4+B195^0*CURVAS!$F$4</f>
        <v>51.138516883999998</v>
      </c>
    </row>
    <row r="407" spans="1:4" ht="15.75" x14ac:dyDescent="0.25">
      <c r="A407" s="1">
        <v>19</v>
      </c>
      <c r="B407" s="1">
        <v>234</v>
      </c>
      <c r="C407" s="1">
        <v>51</v>
      </c>
      <c r="D407" s="3">
        <f>B196^4*CURVAS!$B$4+B196^3*CURVAS!$C$4+B196^2*CURVAS!$D$4+B196^1*CURVAS!$E$4+B196^0*CURVAS!$F$4</f>
        <v>51.663939744000004</v>
      </c>
    </row>
    <row r="408" spans="1:4" ht="15.75" x14ac:dyDescent="0.25">
      <c r="A408" s="1">
        <v>19</v>
      </c>
      <c r="B408" s="1">
        <v>235</v>
      </c>
      <c r="C408" s="1">
        <v>51.6</v>
      </c>
      <c r="D408" s="3">
        <f>B197^4*CURVAS!$B$4+B197^3*CURVAS!$C$4+B197^2*CURVAS!$D$4+B197^1*CURVAS!$E$4+B197^0*CURVAS!$F$4</f>
        <v>52.19355250000001</v>
      </c>
    </row>
    <row r="409" spans="1:4" ht="15.75" x14ac:dyDescent="0.25">
      <c r="A409" s="1">
        <v>19</v>
      </c>
      <c r="B409" s="1">
        <v>236</v>
      </c>
      <c r="C409" s="1">
        <v>52</v>
      </c>
      <c r="D409" s="3">
        <f>B198^4*CURVAS!$B$4+B198^3*CURVAS!$C$4+B198^2*CURVAS!$D$4+B198^1*CURVAS!$E$4+B198^0*CURVAS!$F$4</f>
        <v>52.727380064000002</v>
      </c>
    </row>
    <row r="410" spans="1:4" ht="15.75" x14ac:dyDescent="0.25">
      <c r="A410" s="1">
        <v>19</v>
      </c>
      <c r="B410" s="1">
        <v>237</v>
      </c>
      <c r="C410" s="1">
        <v>52.6</v>
      </c>
      <c r="D410" s="3">
        <f>B199^4*CURVAS!$B$4+B199^3*CURVAS!$C$4+B199^2*CURVAS!$D$4+B199^1*CURVAS!$E$4+B199^0*CURVAS!$F$4</f>
        <v>53.265447444000003</v>
      </c>
    </row>
    <row r="411" spans="1:4" ht="15.75" x14ac:dyDescent="0.25">
      <c r="A411" s="1">
        <v>19</v>
      </c>
      <c r="B411" s="1">
        <v>238</v>
      </c>
      <c r="C411" s="1">
        <v>52.9</v>
      </c>
      <c r="D411" s="3">
        <f>B200^4*CURVAS!$B$4+B200^3*CURVAS!$C$4+B200^2*CURVAS!$D$4+B200^1*CURVAS!$E$4+B200^0*CURVAS!$F$4</f>
        <v>53.807779744000001</v>
      </c>
    </row>
    <row r="412" spans="1:4" ht="15.75" x14ac:dyDescent="0.25">
      <c r="A412" s="1">
        <v>19</v>
      </c>
      <c r="B412" s="1">
        <v>239</v>
      </c>
      <c r="C412" s="1">
        <v>53.2</v>
      </c>
      <c r="D412" s="3">
        <f>B201^4*CURVAS!$B$4+B201^3*CURVAS!$C$4+B201^2*CURVAS!$D$4+B201^1*CURVAS!$E$4+B201^0*CURVAS!$F$4</f>
        <v>54.354402164</v>
      </c>
    </row>
    <row r="413" spans="1:4" ht="15.75" x14ac:dyDescent="0.25">
      <c r="A413" s="1">
        <v>19</v>
      </c>
      <c r="B413" s="1">
        <v>240</v>
      </c>
      <c r="C413" s="1">
        <v>54.6</v>
      </c>
      <c r="D413" s="3">
        <f>B202^4*CURVAS!$B$4+B202^3*CURVAS!$C$4+B202^2*CURVAS!$D$4+B202^1*CURVAS!$E$4+B202^0*CURVAS!$F$4</f>
        <v>54.905340000000002</v>
      </c>
    </row>
    <row r="414" spans="1:4" ht="15.75" x14ac:dyDescent="0.25">
      <c r="A414" s="1">
        <v>19</v>
      </c>
      <c r="B414" s="1">
        <v>241</v>
      </c>
      <c r="C414" s="1">
        <v>54.9</v>
      </c>
      <c r="D414" s="3">
        <f>B203^4*CURVAS!$B$4+B203^3*CURVAS!$C$4+B203^2*CURVAS!$D$4+B203^1*CURVAS!$E$4+B203^0*CURVAS!$F$4</f>
        <v>55.460618644000007</v>
      </c>
    </row>
    <row r="415" spans="1:4" ht="15.75" x14ac:dyDescent="0.25">
      <c r="A415" s="1">
        <v>19</v>
      </c>
      <c r="B415" s="1">
        <v>242</v>
      </c>
      <c r="C415" s="1">
        <v>55.2</v>
      </c>
      <c r="D415" s="3">
        <f>B204^4*CURVAS!$B$4+B204^3*CURVAS!$C$4+B204^2*CURVAS!$D$4+B204^1*CURVAS!$E$4+B204^0*CURVAS!$F$4</f>
        <v>56.020263584000006</v>
      </c>
    </row>
    <row r="416" spans="1:4" ht="15.75" x14ac:dyDescent="0.25">
      <c r="A416" s="1">
        <v>19</v>
      </c>
      <c r="B416" s="1">
        <v>243</v>
      </c>
      <c r="C416" s="1">
        <v>55.3</v>
      </c>
      <c r="D416" s="3">
        <f>B205^4*CURVAS!$B$4+B205^3*CURVAS!$C$4+B205^2*CURVAS!$D$4+B205^1*CURVAS!$E$4+B205^0*CURVAS!$F$4</f>
        <v>56.584300403999997</v>
      </c>
    </row>
    <row r="417" spans="1:4" ht="15.75" x14ac:dyDescent="0.25">
      <c r="A417" s="1">
        <v>19</v>
      </c>
      <c r="B417" s="1">
        <v>244</v>
      </c>
      <c r="C417" s="1">
        <v>56.7</v>
      </c>
      <c r="D417" s="3">
        <f>B206^4*CURVAS!$B$4+B206^3*CURVAS!$C$4+B206^2*CURVAS!$D$4+B206^1*CURVAS!$E$4+B206^0*CURVAS!$F$4</f>
        <v>57.152754784000003</v>
      </c>
    </row>
    <row r="418" spans="1:4" ht="15.75" x14ac:dyDescent="0.25">
      <c r="A418" s="1">
        <v>19</v>
      </c>
      <c r="B418" s="1">
        <v>245</v>
      </c>
      <c r="C418" s="1">
        <v>56.8</v>
      </c>
      <c r="D418" s="3">
        <f>B207^4*CURVAS!$B$4+B207^3*CURVAS!$C$4+B207^2*CURVAS!$D$4+B207^1*CURVAS!$E$4+B207^0*CURVAS!$F$4</f>
        <v>57.725652500000002</v>
      </c>
    </row>
    <row r="419" spans="1:4" ht="15.75" x14ac:dyDescent="0.25">
      <c r="A419" s="1">
        <v>19</v>
      </c>
      <c r="B419" s="1">
        <v>246</v>
      </c>
      <c r="C419" s="1">
        <v>57.3</v>
      </c>
      <c r="D419" s="3">
        <f>B208^4*CURVAS!$B$4+B208^3*CURVAS!$C$4+B208^2*CURVAS!$D$4+B208^1*CURVAS!$E$4+B208^0*CURVAS!$F$4</f>
        <v>58.303019423999999</v>
      </c>
    </row>
    <row r="420" spans="1:4" ht="15.75" x14ac:dyDescent="0.25">
      <c r="A420" s="1">
        <v>19</v>
      </c>
      <c r="B420" s="1">
        <v>247</v>
      </c>
      <c r="C420" s="1">
        <v>57.6</v>
      </c>
      <c r="D420" s="3">
        <f>B209^4*CURVAS!$B$4+B209^3*CURVAS!$C$4+B209^2*CURVAS!$D$4+B209^1*CURVAS!$E$4+B209^0*CURVAS!$F$4</f>
        <v>58.884881524000001</v>
      </c>
    </row>
    <row r="421" spans="1:4" ht="15.75" x14ac:dyDescent="0.25">
      <c r="A421" s="1">
        <v>19</v>
      </c>
      <c r="B421" s="1">
        <v>248</v>
      </c>
      <c r="C421" s="1">
        <v>59</v>
      </c>
      <c r="D421" s="3">
        <f>B210^4*CURVAS!$B$4+B210^3*CURVAS!$C$4+B210^2*CURVAS!$D$4+B210^1*CURVAS!$E$4+B210^0*CURVAS!$F$4</f>
        <v>59.471264864000005</v>
      </c>
    </row>
    <row r="422" spans="1:4" ht="15.75" x14ac:dyDescent="0.25">
      <c r="A422" s="1">
        <v>19</v>
      </c>
      <c r="B422" s="1">
        <v>249</v>
      </c>
      <c r="C422" s="1">
        <v>59.2</v>
      </c>
      <c r="D422" s="3">
        <f>B211^4*CURVAS!$B$4+B211^3*CURVAS!$C$4+B211^2*CURVAS!$D$4+B211^1*CURVAS!$E$4+B211^0*CURVAS!$F$4</f>
        <v>60.06219560400001</v>
      </c>
    </row>
    <row r="423" spans="1:4" ht="15.75" x14ac:dyDescent="0.25">
      <c r="A423" s="1">
        <v>19</v>
      </c>
      <c r="B423" s="1">
        <v>250</v>
      </c>
      <c r="C423" s="1">
        <v>59.5</v>
      </c>
      <c r="D423" s="3">
        <f>B212^4*CURVAS!$B$4+B212^3*CURVAS!$C$4+B212^2*CURVAS!$D$4+B212^1*CURVAS!$E$4+B212^0*CURVAS!$F$4</f>
        <v>60.657700000000006</v>
      </c>
    </row>
    <row r="424" spans="1:4" ht="15.75" x14ac:dyDescent="0.25">
      <c r="A424" s="1">
        <v>20</v>
      </c>
      <c r="B424" s="1">
        <v>40</v>
      </c>
      <c r="C424" s="3">
        <f t="shared" ref="C424:C429" si="0">C213*0.7</f>
        <v>2.5409999999999999</v>
      </c>
      <c r="D424" s="3">
        <f>B2^4*CURVAS!$B$5+B2^3*CURVAS!$C$5+B2^2*CURVAS!$D$5+B2^1*CURVAS!$E$5+B2^0*CURVAS!$F$5</f>
        <v>2.6463040000000002</v>
      </c>
    </row>
    <row r="425" spans="1:4" ht="15.75" x14ac:dyDescent="0.25">
      <c r="A425" s="1">
        <v>20</v>
      </c>
      <c r="B425" s="1">
        <v>41</v>
      </c>
      <c r="C425" s="3">
        <f t="shared" si="0"/>
        <v>2.5619999999999998</v>
      </c>
      <c r="D425" s="3">
        <f>B3^4*CURVAS!$B$5+B3^3*CURVAS!$C$5+B3^2*CURVAS!$D$5+B3^1*CURVAS!$E$5+B3^0*CURVAS!$F$5</f>
        <v>2.7117851849000001</v>
      </c>
    </row>
    <row r="426" spans="1:4" ht="15.75" x14ac:dyDescent="0.25">
      <c r="A426" s="1">
        <v>20</v>
      </c>
      <c r="B426" s="1">
        <v>42</v>
      </c>
      <c r="C426" s="3">
        <f t="shared" si="0"/>
        <v>2.5829999999999997</v>
      </c>
      <c r="D426" s="3">
        <f>B4^4*CURVAS!$B$5+B4^3*CURVAS!$C$5+B4^2*CURVAS!$D$5+B4^1*CURVAS!$E$5+B4^0*CURVAS!$F$5</f>
        <v>2.7779765264000003</v>
      </c>
    </row>
    <row r="427" spans="1:4" ht="15.75" x14ac:dyDescent="0.25">
      <c r="A427" s="1">
        <v>20</v>
      </c>
      <c r="B427" s="1">
        <v>43</v>
      </c>
      <c r="C427" s="3">
        <f t="shared" si="0"/>
        <v>2.6109999999999998</v>
      </c>
      <c r="D427" s="3">
        <f>B5^4*CURVAS!$B$5+B5^3*CURVAS!$C$5+B5^2*CURVAS!$D$5+B5^1*CURVAS!$E$5+B5^0*CURVAS!$F$5</f>
        <v>2.8448909209000002</v>
      </c>
    </row>
    <row r="428" spans="1:4" ht="15.75" x14ac:dyDescent="0.25">
      <c r="A428" s="1">
        <v>20</v>
      </c>
      <c r="B428" s="1">
        <v>44</v>
      </c>
      <c r="C428" s="3">
        <f t="shared" si="0"/>
        <v>2.7404999999999999</v>
      </c>
      <c r="D428" s="3">
        <f>B6^4*CURVAS!$B$5+B6^3*CURVAS!$C$5+B6^2*CURVAS!$D$5+B6^1*CURVAS!$E$5+B6^0*CURVAS!$F$5</f>
        <v>2.9125412863999998</v>
      </c>
    </row>
    <row r="429" spans="1:4" ht="15.75" x14ac:dyDescent="0.25">
      <c r="A429" s="1">
        <v>20</v>
      </c>
      <c r="B429" s="1">
        <v>45</v>
      </c>
      <c r="C429" s="3">
        <f t="shared" si="0"/>
        <v>2.7650000000000001</v>
      </c>
      <c r="D429" s="3">
        <f>B7^4*CURVAS!$B$5+B7^3*CURVAS!$C$5+B7^2*CURVAS!$D$5+B7^1*CURVAS!$E$5+B7^0*CURVAS!$F$5</f>
        <v>2.9809405625000003</v>
      </c>
    </row>
    <row r="430" spans="1:4" ht="15.75" x14ac:dyDescent="0.25">
      <c r="A430" s="1">
        <v>20</v>
      </c>
      <c r="B430" s="1">
        <v>46</v>
      </c>
      <c r="C430" s="1">
        <v>3.15</v>
      </c>
      <c r="D430" s="3">
        <f>B8^4*CURVAS!$B$5+B8^3*CURVAS!$C$5+B8^2*CURVAS!$D$5+B8^1*CURVAS!$E$5+B8^0*CURVAS!$F$5</f>
        <v>3.0501017104000003</v>
      </c>
    </row>
    <row r="431" spans="1:4" ht="15.75" x14ac:dyDescent="0.25">
      <c r="A431" s="1">
        <v>20</v>
      </c>
      <c r="B431" s="1">
        <v>47</v>
      </c>
      <c r="C431" s="1">
        <v>3.18</v>
      </c>
      <c r="D431" s="3">
        <f>B9^4*CURVAS!$B$5+B9^3*CURVAS!$C$5+B9^2*CURVAS!$D$5+B9^1*CURVAS!$E$5+B9^0*CURVAS!$F$5</f>
        <v>3.1200377128999999</v>
      </c>
    </row>
    <row r="432" spans="1:4" ht="15.75" x14ac:dyDescent="0.25">
      <c r="A432" s="1">
        <v>20</v>
      </c>
      <c r="B432" s="1">
        <v>48</v>
      </c>
      <c r="C432" s="1">
        <v>3.34</v>
      </c>
      <c r="D432" s="3">
        <f>B10^4*CURVAS!$B$5+B10^3*CURVAS!$C$5+B10^2*CURVAS!$D$5+B10^1*CURVAS!$E$5+B10^0*CURVAS!$F$5</f>
        <v>3.1907615744000002</v>
      </c>
    </row>
    <row r="433" spans="1:4" ht="15.75" x14ac:dyDescent="0.25">
      <c r="A433" s="1">
        <v>20</v>
      </c>
      <c r="B433" s="1">
        <v>49</v>
      </c>
      <c r="C433" s="1">
        <v>3.39</v>
      </c>
      <c r="D433" s="3">
        <f>B11^4*CURVAS!$B$5+B11^3*CURVAS!$C$5+B11^2*CURVAS!$D$5+B11^1*CURVAS!$E$5+B11^0*CURVAS!$F$5</f>
        <v>3.2622863208999999</v>
      </c>
    </row>
    <row r="434" spans="1:4" ht="15.75" x14ac:dyDescent="0.25">
      <c r="A434" s="1">
        <v>20</v>
      </c>
      <c r="B434" s="1">
        <v>50</v>
      </c>
      <c r="C434" s="1">
        <v>3.43</v>
      </c>
      <c r="D434" s="3">
        <f>B12^4*CURVAS!$B$5+B12^3*CURVAS!$C$5+B12^2*CURVAS!$D$5+B12^1*CURVAS!$E$5+B12^0*CURVAS!$F$5</f>
        <v>3.3346250000000004</v>
      </c>
    </row>
    <row r="435" spans="1:4" ht="15.75" x14ac:dyDescent="0.25">
      <c r="A435" s="1">
        <v>20</v>
      </c>
      <c r="B435" s="1">
        <v>51</v>
      </c>
      <c r="C435" s="1">
        <v>3.44</v>
      </c>
      <c r="D435" s="3">
        <f>B13^4*CURVAS!$B$5+B13^3*CURVAS!$C$5+B13^2*CURVAS!$D$5+B13^1*CURVAS!$E$5+B13^0*CURVAS!$F$5</f>
        <v>3.4077906809000003</v>
      </c>
    </row>
    <row r="436" spans="1:4" ht="15.75" x14ac:dyDescent="0.25">
      <c r="A436" s="1">
        <v>20</v>
      </c>
      <c r="B436" s="1">
        <v>52</v>
      </c>
      <c r="C436" s="1">
        <v>3.63</v>
      </c>
      <c r="D436" s="3">
        <f>B14^4*CURVAS!$B$5+B14^3*CURVAS!$C$5+B14^2*CURVAS!$D$5+B14^1*CURVAS!$E$5+B14^0*CURVAS!$F$5</f>
        <v>3.4817964544</v>
      </c>
    </row>
    <row r="437" spans="1:4" ht="15.75" x14ac:dyDescent="0.25">
      <c r="A437" s="1">
        <v>20</v>
      </c>
      <c r="B437" s="1">
        <v>53</v>
      </c>
      <c r="C437" s="1">
        <v>3.66</v>
      </c>
      <c r="D437" s="3">
        <f>B15^4*CURVAS!$B$5+B15^3*CURVAS!$C$5+B15^2*CURVAS!$D$5+B15^1*CURVAS!$E$5+B15^0*CURVAS!$F$5</f>
        <v>3.5566554329</v>
      </c>
    </row>
    <row r="438" spans="1:4" ht="15.75" x14ac:dyDescent="0.25">
      <c r="A438" s="1">
        <v>20</v>
      </c>
      <c r="B438" s="1">
        <v>54</v>
      </c>
      <c r="C438" s="1">
        <v>3.69</v>
      </c>
      <c r="D438" s="3">
        <f>B16^4*CURVAS!$B$5+B16^3*CURVAS!$C$5+B16^2*CURVAS!$D$5+B16^1*CURVAS!$E$5+B16^0*CURVAS!$F$5</f>
        <v>3.6323807504000003</v>
      </c>
    </row>
    <row r="439" spans="1:4" ht="15.75" x14ac:dyDescent="0.25">
      <c r="A439" s="1">
        <v>20</v>
      </c>
      <c r="B439" s="1">
        <v>55</v>
      </c>
      <c r="C439" s="1">
        <v>3.73</v>
      </c>
      <c r="D439" s="3">
        <f>B17^4*CURVAS!$B$5+B17^3*CURVAS!$C$5+B17^2*CURVAS!$D$5+B17^1*CURVAS!$E$5+B17^0*CURVAS!$F$5</f>
        <v>3.7089855625000001</v>
      </c>
    </row>
    <row r="440" spans="1:4" ht="15.75" x14ac:dyDescent="0.25">
      <c r="A440" s="1">
        <v>20</v>
      </c>
      <c r="B440" s="1">
        <v>56</v>
      </c>
      <c r="C440" s="1">
        <v>3.915</v>
      </c>
      <c r="D440" s="3">
        <f>B18^4*CURVAS!$B$5+B18^3*CURVAS!$C$5+B18^2*CURVAS!$D$5+B18^1*CURVAS!$E$5+B18^0*CURVAS!$F$5</f>
        <v>3.7864830463999999</v>
      </c>
    </row>
    <row r="441" spans="1:4" ht="15.75" x14ac:dyDescent="0.25">
      <c r="A441" s="1">
        <v>20</v>
      </c>
      <c r="B441" s="1">
        <v>57</v>
      </c>
      <c r="C441" s="1">
        <v>3.95</v>
      </c>
      <c r="D441" s="3">
        <f>B19^4*CURVAS!$B$5+B19^3*CURVAS!$C$5+B19^2*CURVAS!$D$5+B19^1*CURVAS!$E$5+B19^0*CURVAS!$F$5</f>
        <v>3.8648864009000001</v>
      </c>
    </row>
    <row r="442" spans="1:4" ht="15.75" x14ac:dyDescent="0.25">
      <c r="A442" s="1">
        <v>20</v>
      </c>
      <c r="B442" s="1">
        <v>58</v>
      </c>
      <c r="C442" s="1">
        <v>4</v>
      </c>
      <c r="D442" s="3">
        <f>B20^4*CURVAS!$B$5+B20^3*CURVAS!$C$5+B20^2*CURVAS!$D$5+B20^1*CURVAS!$E$5+B20^0*CURVAS!$F$5</f>
        <v>3.9442088464</v>
      </c>
    </row>
    <row r="443" spans="1:4" ht="15.75" x14ac:dyDescent="0.25">
      <c r="A443" s="1">
        <v>20</v>
      </c>
      <c r="B443" s="1">
        <v>59</v>
      </c>
      <c r="C443" s="1">
        <v>4.0199999999999996</v>
      </c>
      <c r="D443" s="3">
        <f>B21^4*CURVAS!$B$5+B21^3*CURVAS!$C$5+B21^2*CURVAS!$D$5+B21^1*CURVAS!$E$5+B21^0*CURVAS!$F$5</f>
        <v>4.0244636249000001</v>
      </c>
    </row>
    <row r="444" spans="1:4" ht="15.75" x14ac:dyDescent="0.25">
      <c r="A444" s="1">
        <v>20</v>
      </c>
      <c r="B444" s="1">
        <v>60</v>
      </c>
      <c r="C444" s="1">
        <v>4.21</v>
      </c>
      <c r="D444" s="3">
        <f>B22^4*CURVAS!$B$5+B22^3*CURVAS!$C$5+B22^2*CURVAS!$D$5+B22^1*CURVAS!$E$5+B22^0*CURVAS!$F$5</f>
        <v>4.105664</v>
      </c>
    </row>
    <row r="445" spans="1:4" ht="15.75" x14ac:dyDescent="0.25">
      <c r="A445" s="1">
        <v>20</v>
      </c>
      <c r="B445" s="1">
        <v>61</v>
      </c>
      <c r="C445" s="1">
        <v>4.24</v>
      </c>
      <c r="D445" s="3">
        <f>B23^4*CURVAS!$B$5+B23^3*CURVAS!$C$5+B23^2*CURVAS!$D$5+B23^1*CURVAS!$E$5+B23^0*CURVAS!$F$5</f>
        <v>4.1878232569000007</v>
      </c>
    </row>
    <row r="446" spans="1:4" ht="15.75" x14ac:dyDescent="0.25">
      <c r="A446" s="1">
        <v>20</v>
      </c>
      <c r="B446" s="1">
        <v>62</v>
      </c>
      <c r="C446" s="1">
        <v>4.29</v>
      </c>
      <c r="D446" s="3">
        <f>B24^4*CURVAS!$B$5+B24^3*CURVAS!$C$5+B24^2*CURVAS!$D$5+B24^1*CURVAS!$E$5+B24^0*CURVAS!$F$5</f>
        <v>4.270954702400001</v>
      </c>
    </row>
    <row r="447" spans="1:4" ht="15.75" x14ac:dyDescent="0.25">
      <c r="A447" s="1">
        <v>20</v>
      </c>
      <c r="B447" s="1">
        <v>63</v>
      </c>
      <c r="C447" s="1">
        <v>4.34</v>
      </c>
      <c r="D447" s="3">
        <f>B25^4*CURVAS!$B$5+B25^3*CURVAS!$C$5+B25^2*CURVAS!$D$5+B25^1*CURVAS!$E$5+B25^0*CURVAS!$F$5</f>
        <v>4.3550716649000005</v>
      </c>
    </row>
    <row r="448" spans="1:4" ht="15.75" x14ac:dyDescent="0.25">
      <c r="A448" s="1">
        <v>20</v>
      </c>
      <c r="B448" s="1">
        <v>64</v>
      </c>
      <c r="C448" s="1">
        <v>4.5449999999999999</v>
      </c>
      <c r="D448" s="3">
        <f>B26^4*CURVAS!$B$5+B26^3*CURVAS!$C$5+B26^2*CURVAS!$D$5+B26^1*CURVAS!$E$5+B26^0*CURVAS!$F$5</f>
        <v>4.4401874944000008</v>
      </c>
    </row>
    <row r="449" spans="1:4" ht="15.75" x14ac:dyDescent="0.25">
      <c r="A449" s="1">
        <v>20</v>
      </c>
      <c r="B449" s="1">
        <v>65</v>
      </c>
      <c r="C449" s="1">
        <v>4.5999999999999996</v>
      </c>
      <c r="D449" s="3">
        <f>B27^4*CURVAS!$B$5+B27^3*CURVAS!$C$5+B27^2*CURVAS!$D$5+B27^1*CURVAS!$E$5+B27^0*CURVAS!$F$5</f>
        <v>4.5263155625000007</v>
      </c>
    </row>
    <row r="450" spans="1:4" ht="15.75" x14ac:dyDescent="0.25">
      <c r="A450" s="1">
        <v>20</v>
      </c>
      <c r="B450" s="1">
        <v>66</v>
      </c>
      <c r="C450" s="1">
        <v>4.63</v>
      </c>
      <c r="D450" s="3">
        <f>B28^4*CURVAS!$B$5+B28^3*CURVAS!$C$5+B28^2*CURVAS!$D$5+B28^1*CURVAS!$E$5+B28^0*CURVAS!$F$5</f>
        <v>4.6134692624000007</v>
      </c>
    </row>
    <row r="451" spans="1:4" ht="15.75" x14ac:dyDescent="0.25">
      <c r="A451" s="1">
        <v>20</v>
      </c>
      <c r="B451" s="1">
        <v>67</v>
      </c>
      <c r="C451" s="1">
        <v>4.67</v>
      </c>
      <c r="D451" s="3">
        <f>B29^4*CURVAS!$B$5+B29^3*CURVAS!$C$5+B29^2*CURVAS!$D$5+B29^1*CURVAS!$E$5+B29^0*CURVAS!$F$5</f>
        <v>4.7016620089000005</v>
      </c>
    </row>
    <row r="452" spans="1:4" ht="15.75" x14ac:dyDescent="0.25">
      <c r="A452" s="1">
        <v>20</v>
      </c>
      <c r="B452" s="1">
        <v>68</v>
      </c>
      <c r="C452" s="1">
        <v>4.88</v>
      </c>
      <c r="D452" s="3">
        <f>B30^4*CURVAS!$B$5+B30^3*CURVAS!$C$5+B30^2*CURVAS!$D$5+B30^1*CURVAS!$E$5+B30^0*CURVAS!$F$5</f>
        <v>4.7909072384000009</v>
      </c>
    </row>
    <row r="453" spans="1:4" ht="15.75" x14ac:dyDescent="0.25">
      <c r="A453" s="1">
        <v>20</v>
      </c>
      <c r="B453" s="1">
        <v>69</v>
      </c>
      <c r="C453" s="1">
        <v>4.9249999999999998</v>
      </c>
      <c r="D453" s="3">
        <f>B31^4*CURVAS!$B$5+B31^3*CURVAS!$C$5+B31^2*CURVAS!$D$5+B31^1*CURVAS!$E$5+B31^0*CURVAS!$F$5</f>
        <v>4.8812184089000006</v>
      </c>
    </row>
    <row r="454" spans="1:4" ht="15.75" x14ac:dyDescent="0.25">
      <c r="A454" s="1">
        <v>20</v>
      </c>
      <c r="B454" s="1">
        <v>70</v>
      </c>
      <c r="C454" s="1">
        <v>4.96</v>
      </c>
      <c r="D454" s="3">
        <f>B32^4*CURVAS!$B$5+B32^3*CURVAS!$C$5+B32^2*CURVAS!$D$5+B32^1*CURVAS!$E$5+B32^0*CURVAS!$F$5</f>
        <v>4.9726090000000003</v>
      </c>
    </row>
    <row r="455" spans="1:4" ht="15.75" x14ac:dyDescent="0.25">
      <c r="A455" s="1">
        <v>20</v>
      </c>
      <c r="B455" s="1">
        <v>71</v>
      </c>
      <c r="C455" s="1">
        <v>5</v>
      </c>
      <c r="D455" s="3">
        <f>B33^4*CURVAS!$B$5+B33^3*CURVAS!$C$5+B33^2*CURVAS!$D$5+B33^1*CURVAS!$E$5+B33^0*CURVAS!$F$5</f>
        <v>5.0650925129000006</v>
      </c>
    </row>
    <row r="456" spans="1:4" ht="15.75" x14ac:dyDescent="0.25">
      <c r="A456" s="1">
        <v>20</v>
      </c>
      <c r="B456" s="1">
        <v>72</v>
      </c>
      <c r="C456" s="1">
        <v>5.2</v>
      </c>
      <c r="D456" s="3">
        <f>B34^4*CURVAS!$B$5+B34^3*CURVAS!$C$5+B34^2*CURVAS!$D$5+B34^1*CURVAS!$E$5+B34^0*CURVAS!$F$5</f>
        <v>5.1586824704000005</v>
      </c>
    </row>
    <row r="457" spans="1:4" ht="15.75" x14ac:dyDescent="0.25">
      <c r="A457" s="1">
        <v>20</v>
      </c>
      <c r="B457" s="1">
        <v>73</v>
      </c>
      <c r="C457" s="1">
        <v>5.3</v>
      </c>
      <c r="D457" s="3">
        <f>B35^4*CURVAS!$B$5+B35^3*CURVAS!$C$5+B35^2*CURVAS!$D$5+B35^1*CURVAS!$E$5+B35^0*CURVAS!$F$5</f>
        <v>5.2533924169000006</v>
      </c>
    </row>
    <row r="458" spans="1:4" ht="15.75" x14ac:dyDescent="0.25">
      <c r="A458" s="1">
        <v>20</v>
      </c>
      <c r="B458" s="1">
        <v>74</v>
      </c>
      <c r="C458" s="1">
        <v>5.3</v>
      </c>
      <c r="D458" s="3">
        <f>B36^4*CURVAS!$B$5+B36^3*CURVAS!$C$5+B36^2*CURVAS!$D$5+B36^1*CURVAS!$E$5+B36^0*CURVAS!$F$5</f>
        <v>5.3492359183999998</v>
      </c>
    </row>
    <row r="459" spans="1:4" ht="15.75" x14ac:dyDescent="0.25">
      <c r="A459" s="1">
        <v>20</v>
      </c>
      <c r="B459" s="1">
        <v>75</v>
      </c>
      <c r="C459" s="1">
        <v>5.3</v>
      </c>
      <c r="D459" s="3">
        <f>B37^4*CURVAS!$B$5+B37^3*CURVAS!$C$5+B37^2*CURVAS!$D$5+B37^1*CURVAS!$E$5+B37^0*CURVAS!$F$5</f>
        <v>5.4462265625000006</v>
      </c>
    </row>
    <row r="460" spans="1:4" ht="15.75" x14ac:dyDescent="0.25">
      <c r="A460" s="1">
        <v>20</v>
      </c>
      <c r="B460" s="1">
        <v>76</v>
      </c>
      <c r="C460" s="1">
        <v>5.6</v>
      </c>
      <c r="D460" s="3">
        <f>B38^4*CURVAS!$B$5+B38^3*CURVAS!$C$5+B38^2*CURVAS!$D$5+B38^1*CURVAS!$E$5+B38^0*CURVAS!$F$5</f>
        <v>5.5443779584000001</v>
      </c>
    </row>
    <row r="461" spans="1:4" ht="15.75" x14ac:dyDescent="0.25">
      <c r="A461" s="1">
        <v>20</v>
      </c>
      <c r="B461" s="1">
        <v>77</v>
      </c>
      <c r="C461" s="1">
        <v>5.6</v>
      </c>
      <c r="D461" s="3">
        <f>B39^4*CURVAS!$B$5+B39^3*CURVAS!$C$5+B39^2*CURVAS!$D$5+B39^1*CURVAS!$E$5+B39^0*CURVAS!$F$5</f>
        <v>5.6437037369000009</v>
      </c>
    </row>
    <row r="462" spans="1:4" ht="15.75" x14ac:dyDescent="0.25">
      <c r="A462" s="1">
        <v>20</v>
      </c>
      <c r="B462" s="1">
        <v>78</v>
      </c>
      <c r="C462" s="1">
        <v>5.7</v>
      </c>
      <c r="D462" s="3">
        <f>B40^4*CURVAS!$B$5+B40^3*CURVAS!$C$5+B40^2*CURVAS!$D$5+B40^1*CURVAS!$E$5+B40^0*CURVAS!$F$5</f>
        <v>5.7442175504000001</v>
      </c>
    </row>
    <row r="463" spans="1:4" ht="15.75" x14ac:dyDescent="0.25">
      <c r="A463" s="1">
        <v>20</v>
      </c>
      <c r="B463" s="1">
        <v>79</v>
      </c>
      <c r="C463" s="1">
        <v>5.7</v>
      </c>
      <c r="D463" s="3">
        <f>B41^4*CURVAS!$B$5+B41^3*CURVAS!$C$5+B41^2*CURVAS!$D$5+B41^1*CURVAS!$E$5+B41^0*CURVAS!$F$5</f>
        <v>5.8459330729000012</v>
      </c>
    </row>
    <row r="464" spans="1:4" ht="15.75" x14ac:dyDescent="0.25">
      <c r="A464" s="1">
        <v>20</v>
      </c>
      <c r="B464" s="1">
        <v>80</v>
      </c>
      <c r="C464" s="1">
        <v>6</v>
      </c>
      <c r="D464" s="3">
        <f>B42^4*CURVAS!$B$5+B42^3*CURVAS!$C$5+B42^2*CURVAS!$D$5+B42^1*CURVAS!$E$5+B42^0*CURVAS!$F$5</f>
        <v>5.9488640000000004</v>
      </c>
    </row>
    <row r="465" spans="1:4" ht="15.75" x14ac:dyDescent="0.25">
      <c r="A465" s="1">
        <v>20</v>
      </c>
      <c r="B465" s="1">
        <v>81</v>
      </c>
      <c r="C465" s="1">
        <v>6.1</v>
      </c>
      <c r="D465" s="3">
        <f>B43^4*CURVAS!$B$5+B43^3*CURVAS!$C$5+B43^2*CURVAS!$D$5+B43^1*CURVAS!$E$5+B43^0*CURVAS!$F$5</f>
        <v>6.0530240489000011</v>
      </c>
    </row>
    <row r="466" spans="1:4" ht="15.75" x14ac:dyDescent="0.25">
      <c r="A466" s="1">
        <v>20</v>
      </c>
      <c r="B466" s="1">
        <v>82</v>
      </c>
      <c r="C466" s="1">
        <v>6.1</v>
      </c>
      <c r="D466" s="3">
        <f>B44^4*CURVAS!$B$5+B44^3*CURVAS!$C$5+B44^2*CURVAS!$D$5+B44^1*CURVAS!$E$5+B44^0*CURVAS!$F$5</f>
        <v>6.1584269583999998</v>
      </c>
    </row>
    <row r="467" spans="1:4" ht="15.75" x14ac:dyDescent="0.25">
      <c r="A467" s="1">
        <v>20</v>
      </c>
      <c r="B467" s="1">
        <v>83</v>
      </c>
      <c r="C467" s="1">
        <v>6.1</v>
      </c>
      <c r="D467" s="3">
        <f>B45^4*CURVAS!$B$5+B45^3*CURVAS!$C$5+B45^2*CURVAS!$D$5+B45^1*CURVAS!$E$5+B45^0*CURVAS!$F$5</f>
        <v>6.2650864888999998</v>
      </c>
    </row>
    <row r="468" spans="1:4" ht="15.75" x14ac:dyDescent="0.25">
      <c r="A468" s="1">
        <v>20</v>
      </c>
      <c r="B468" s="1">
        <v>84</v>
      </c>
      <c r="C468" s="1">
        <v>6.4</v>
      </c>
      <c r="D468" s="3">
        <f>B46^4*CURVAS!$B$5+B46^3*CURVAS!$C$5+B46^2*CURVAS!$D$5+B46^1*CURVAS!$E$5+B46^0*CURVAS!$F$5</f>
        <v>6.373016422400001</v>
      </c>
    </row>
    <row r="469" spans="1:4" ht="15.75" x14ac:dyDescent="0.25">
      <c r="A469" s="1">
        <v>20</v>
      </c>
      <c r="B469" s="1">
        <v>85</v>
      </c>
      <c r="C469" s="1">
        <v>6.5</v>
      </c>
      <c r="D469" s="3">
        <f>B47^4*CURVAS!$B$5+B47^3*CURVAS!$C$5+B47^2*CURVAS!$D$5+B47^1*CURVAS!$E$5+B47^0*CURVAS!$F$5</f>
        <v>6.4822305624999998</v>
      </c>
    </row>
    <row r="470" spans="1:4" ht="15.75" x14ac:dyDescent="0.25">
      <c r="A470" s="1">
        <v>20</v>
      </c>
      <c r="B470" s="1">
        <v>86</v>
      </c>
      <c r="C470" s="1">
        <v>6.5</v>
      </c>
      <c r="D470" s="3">
        <f>B48^4*CURVAS!$B$5+B48^3*CURVAS!$C$5+B48^2*CURVAS!$D$5+B48^1*CURVAS!$E$5+B48^0*CURVAS!$F$5</f>
        <v>6.5927427344000007</v>
      </c>
    </row>
    <row r="471" spans="1:4" ht="15.75" x14ac:dyDescent="0.25">
      <c r="A471" s="1">
        <v>20</v>
      </c>
      <c r="B471" s="1">
        <v>87</v>
      </c>
      <c r="C471" s="1">
        <v>6.6</v>
      </c>
      <c r="D471" s="3">
        <f>B49^4*CURVAS!$B$5+B49^3*CURVAS!$C$5+B49^2*CURVAS!$D$5+B49^1*CURVAS!$E$5+B49^0*CURVAS!$F$5</f>
        <v>6.7045667849000008</v>
      </c>
    </row>
    <row r="472" spans="1:4" ht="15.75" x14ac:dyDescent="0.25">
      <c r="A472" s="1">
        <v>20</v>
      </c>
      <c r="B472" s="1">
        <v>88</v>
      </c>
      <c r="C472" s="1">
        <v>6.8</v>
      </c>
      <c r="D472" s="3">
        <f>B50^4*CURVAS!$B$5+B50^3*CURVAS!$C$5+B50^2*CURVAS!$D$5+B50^1*CURVAS!$E$5+B50^0*CURVAS!$F$5</f>
        <v>6.8177165824000001</v>
      </c>
    </row>
    <row r="473" spans="1:4" ht="15.75" x14ac:dyDescent="0.25">
      <c r="A473" s="1">
        <v>20</v>
      </c>
      <c r="B473" s="1">
        <v>89</v>
      </c>
      <c r="C473" s="1">
        <v>6.9</v>
      </c>
      <c r="D473" s="3">
        <f>B51^4*CURVAS!$B$5+B51^3*CURVAS!$C$5+B51^2*CURVAS!$D$5+B51^1*CURVAS!$E$5+B51^0*CURVAS!$F$5</f>
        <v>6.9322060169000004</v>
      </c>
    </row>
    <row r="474" spans="1:4" ht="15.75" x14ac:dyDescent="0.25">
      <c r="A474" s="1">
        <v>20</v>
      </c>
      <c r="B474" s="1">
        <v>90</v>
      </c>
      <c r="C474" s="1">
        <v>7</v>
      </c>
      <c r="D474" s="3">
        <f>B52^4*CURVAS!$B$5+B52^3*CURVAS!$C$5+B52^2*CURVAS!$D$5+B52^1*CURVAS!$E$5+B52^0*CURVAS!$F$5</f>
        <v>7.0480490000000007</v>
      </c>
    </row>
    <row r="475" spans="1:4" ht="15.75" x14ac:dyDescent="0.25">
      <c r="A475" s="1">
        <v>20</v>
      </c>
      <c r="B475" s="1">
        <v>91</v>
      </c>
      <c r="C475" s="1">
        <v>7</v>
      </c>
      <c r="D475" s="3">
        <f>B53^4*CURVAS!$B$5+B53^3*CURVAS!$C$5+B53^2*CURVAS!$D$5+B53^1*CURVAS!$E$5+B53^0*CURVAS!$F$5</f>
        <v>7.165259464900001</v>
      </c>
    </row>
    <row r="476" spans="1:4" ht="15.75" x14ac:dyDescent="0.25">
      <c r="A476" s="1">
        <v>20</v>
      </c>
      <c r="B476" s="1">
        <v>92</v>
      </c>
      <c r="C476" s="1">
        <v>7.3</v>
      </c>
      <c r="D476" s="3">
        <f>B54^4*CURVAS!$B$5+B54^3*CURVAS!$C$5+B54^2*CURVAS!$D$5+B54^1*CURVAS!$E$5+B54^0*CURVAS!$F$5</f>
        <v>7.2838513664000004</v>
      </c>
    </row>
    <row r="477" spans="1:4" ht="15.75" x14ac:dyDescent="0.25">
      <c r="A477" s="1">
        <v>20</v>
      </c>
      <c r="B477" s="1">
        <v>93</v>
      </c>
      <c r="C477" s="1">
        <v>7.4</v>
      </c>
      <c r="D477" s="3">
        <f>B55^4*CURVAS!$B$5+B55^3*CURVAS!$C$5+B55^2*CURVAS!$D$5+B55^1*CURVAS!$E$5+B55^0*CURVAS!$F$5</f>
        <v>7.4038386809000007</v>
      </c>
    </row>
    <row r="478" spans="1:4" ht="15.75" x14ac:dyDescent="0.25">
      <c r="A478" s="1">
        <v>20</v>
      </c>
      <c r="B478" s="1">
        <v>94</v>
      </c>
      <c r="C478" s="1">
        <v>7.5</v>
      </c>
      <c r="D478" s="3">
        <f>B56^4*CURVAS!$B$5+B56^3*CURVAS!$C$5+B56^2*CURVAS!$D$5+B56^1*CURVAS!$E$5+B56^0*CURVAS!$F$5</f>
        <v>7.5252354064000002</v>
      </c>
    </row>
    <row r="479" spans="1:4" ht="15.75" x14ac:dyDescent="0.25">
      <c r="A479" s="1">
        <v>20</v>
      </c>
      <c r="B479" s="1">
        <v>95</v>
      </c>
      <c r="C479" s="1">
        <v>7.5</v>
      </c>
      <c r="D479" s="3">
        <f>B57^4*CURVAS!$B$5+B57^3*CURVAS!$C$5+B57^2*CURVAS!$D$5+B57^1*CURVAS!$E$5+B57^0*CURVAS!$F$5</f>
        <v>7.6480555625000006</v>
      </c>
    </row>
    <row r="480" spans="1:4" ht="15.75" x14ac:dyDescent="0.25">
      <c r="A480" s="1">
        <v>20</v>
      </c>
      <c r="B480" s="1">
        <v>96</v>
      </c>
      <c r="C480" s="1">
        <v>7.8</v>
      </c>
      <c r="D480" s="3">
        <f>B58^4*CURVAS!$B$5+B58^3*CURVAS!$C$5+B58^2*CURVAS!$D$5+B58^1*CURVAS!$E$5+B58^0*CURVAS!$F$5</f>
        <v>7.7723131904000002</v>
      </c>
    </row>
    <row r="481" spans="1:4" ht="15.75" x14ac:dyDescent="0.25">
      <c r="A481" s="1">
        <v>20</v>
      </c>
      <c r="B481" s="1">
        <v>97</v>
      </c>
      <c r="C481" s="1">
        <v>7.9</v>
      </c>
      <c r="D481" s="3">
        <f>B59^4*CURVAS!$B$5+B59^3*CURVAS!$C$5+B59^2*CURVAS!$D$5+B59^1*CURVAS!$E$5+B59^0*CURVAS!$F$5</f>
        <v>7.8980223529</v>
      </c>
    </row>
    <row r="482" spans="1:4" ht="15.75" x14ac:dyDescent="0.25">
      <c r="A482" s="1">
        <v>20</v>
      </c>
      <c r="B482" s="1">
        <v>98</v>
      </c>
      <c r="C482" s="1">
        <v>8</v>
      </c>
      <c r="D482" s="3">
        <f>B60^4*CURVAS!$B$5+B60^3*CURVAS!$C$5+B60^2*CURVAS!$D$5+B60^1*CURVAS!$E$5+B60^0*CURVAS!$F$5</f>
        <v>8.025197134399999</v>
      </c>
    </row>
    <row r="483" spans="1:4" ht="15.75" x14ac:dyDescent="0.25">
      <c r="A483" s="1">
        <v>20</v>
      </c>
      <c r="B483" s="1">
        <v>99</v>
      </c>
      <c r="C483" s="1">
        <v>8</v>
      </c>
      <c r="D483" s="3">
        <f>B61^4*CURVAS!$B$5+B61^3*CURVAS!$C$5+B61^2*CURVAS!$D$5+B61^1*CURVAS!$E$5+B61^0*CURVAS!$F$5</f>
        <v>8.153851640900001</v>
      </c>
    </row>
    <row r="484" spans="1:4" ht="15.75" x14ac:dyDescent="0.25">
      <c r="A484" s="1">
        <v>20</v>
      </c>
      <c r="B484" s="1">
        <v>100</v>
      </c>
      <c r="C484" s="1">
        <v>8.3000000000000007</v>
      </c>
      <c r="D484" s="3">
        <f>B62^4*CURVAS!$B$5+B62^3*CURVAS!$C$5+B62^2*CURVAS!$D$5+B62^1*CURVAS!$E$5+B62^0*CURVAS!$F$5</f>
        <v>8.2840000000000007</v>
      </c>
    </row>
    <row r="485" spans="1:4" ht="15.75" x14ac:dyDescent="0.25">
      <c r="A485" s="1">
        <v>20</v>
      </c>
      <c r="B485" s="1">
        <v>101</v>
      </c>
      <c r="C485" s="1">
        <v>8.4</v>
      </c>
      <c r="D485" s="3">
        <f>B63^4*CURVAS!$B$5+B63^3*CURVAS!$C$5+B63^2*CURVAS!$D$5+B63^1*CURVAS!$E$5+B63^0*CURVAS!$F$5</f>
        <v>8.4156563608999999</v>
      </c>
    </row>
    <row r="486" spans="1:4" ht="15.75" x14ac:dyDescent="0.25">
      <c r="A486" s="1">
        <v>20</v>
      </c>
      <c r="B486" s="1">
        <v>102</v>
      </c>
      <c r="C486" s="1">
        <v>8.5</v>
      </c>
      <c r="D486" s="3">
        <f>B64^4*CURVAS!$B$5+B64^3*CURVAS!$C$5+B64^2*CURVAS!$D$5+B64^1*CURVAS!$E$5+B64^0*CURVAS!$F$5</f>
        <v>8.5488348944000006</v>
      </c>
    </row>
    <row r="487" spans="1:4" ht="15.75" x14ac:dyDescent="0.25">
      <c r="A487" s="1">
        <v>20</v>
      </c>
      <c r="B487" s="1">
        <v>103</v>
      </c>
      <c r="C487" s="1">
        <v>8.5</v>
      </c>
      <c r="D487" s="3">
        <f>B65^4*CURVAS!$B$5+B65^3*CURVAS!$C$5+B65^2*CURVAS!$D$5+B65^1*CURVAS!$E$5+B65^0*CURVAS!$F$5</f>
        <v>8.683549792900001</v>
      </c>
    </row>
    <row r="488" spans="1:4" ht="15.75" x14ac:dyDescent="0.25">
      <c r="A488" s="1">
        <v>20</v>
      </c>
      <c r="B488" s="1">
        <v>104</v>
      </c>
      <c r="C488" s="1">
        <v>8.9</v>
      </c>
      <c r="D488" s="3">
        <f>B66^4*CURVAS!$B$5+B66^3*CURVAS!$C$5+B66^2*CURVAS!$D$5+B66^1*CURVAS!$E$5+B66^0*CURVAS!$F$5</f>
        <v>8.8198152704000012</v>
      </c>
    </row>
    <row r="489" spans="1:4" ht="15.75" x14ac:dyDescent="0.25">
      <c r="A489" s="1">
        <v>20</v>
      </c>
      <c r="B489" s="1">
        <v>105</v>
      </c>
      <c r="C489" s="1">
        <v>8.9</v>
      </c>
      <c r="D489" s="3">
        <f>B67^4*CURVAS!$B$5+B67^3*CURVAS!$C$5+B67^2*CURVAS!$D$5+B67^1*CURVAS!$E$5+B67^0*CURVAS!$F$5</f>
        <v>8.9576455624999998</v>
      </c>
    </row>
    <row r="490" spans="1:4" ht="15.75" x14ac:dyDescent="0.25">
      <c r="A490" s="1">
        <v>20</v>
      </c>
      <c r="B490" s="1">
        <v>106</v>
      </c>
      <c r="C490" s="1">
        <v>9</v>
      </c>
      <c r="D490" s="3">
        <f>B68^4*CURVAS!$B$5+B68^3*CURVAS!$C$5+B68^2*CURVAS!$D$5+B68^1*CURVAS!$E$5+B68^0*CURVAS!$F$5</f>
        <v>9.0970549264000002</v>
      </c>
    </row>
    <row r="491" spans="1:4" ht="15.75" x14ac:dyDescent="0.25">
      <c r="A491" s="1">
        <v>20</v>
      </c>
      <c r="B491" s="1">
        <v>107</v>
      </c>
      <c r="C491" s="1">
        <v>9.1</v>
      </c>
      <c r="D491" s="3">
        <f>B69^4*CURVAS!$B$5+B69^3*CURVAS!$C$5+B69^2*CURVAS!$D$5+B69^1*CURVAS!$E$5+B69^0*CURVAS!$F$5</f>
        <v>9.238057640900001</v>
      </c>
    </row>
    <row r="492" spans="1:4" ht="15.75" x14ac:dyDescent="0.25">
      <c r="A492" s="1">
        <v>20</v>
      </c>
      <c r="B492" s="1">
        <v>108</v>
      </c>
      <c r="C492" s="1">
        <v>9.4</v>
      </c>
      <c r="D492" s="3">
        <f>B70^4*CURVAS!$B$5+B70^3*CURVAS!$C$5+B70^2*CURVAS!$D$5+B70^1*CURVAS!$E$5+B70^0*CURVAS!$F$5</f>
        <v>9.3806680064000005</v>
      </c>
    </row>
    <row r="493" spans="1:4" ht="15.75" x14ac:dyDescent="0.25">
      <c r="A493" s="1">
        <v>20</v>
      </c>
      <c r="B493" s="1">
        <v>109</v>
      </c>
      <c r="C493" s="1">
        <v>9.5</v>
      </c>
      <c r="D493" s="3">
        <f>B71^4*CURVAS!$B$5+B71^3*CURVAS!$C$5+B71^2*CURVAS!$D$5+B71^1*CURVAS!$E$5+B71^0*CURVAS!$F$5</f>
        <v>9.5249003449000007</v>
      </c>
    </row>
    <row r="494" spans="1:4" ht="15.75" x14ac:dyDescent="0.25">
      <c r="A494" s="1">
        <v>20</v>
      </c>
      <c r="B494" s="1">
        <v>110</v>
      </c>
      <c r="C494" s="1">
        <v>9.6</v>
      </c>
      <c r="D494" s="3">
        <f>B72^4*CURVAS!$B$5+B72^3*CURVAS!$C$5+B72^2*CURVAS!$D$5+B72^1*CURVAS!$E$5+B72^0*CURVAS!$F$5</f>
        <v>9.6707690000000017</v>
      </c>
    </row>
    <row r="495" spans="1:4" ht="15.75" x14ac:dyDescent="0.25">
      <c r="A495" s="1">
        <v>20</v>
      </c>
      <c r="B495" s="1">
        <v>111</v>
      </c>
      <c r="C495" s="1">
        <v>9.6999999999999993</v>
      </c>
      <c r="D495" s="3">
        <f>B73^4*CURVAS!$B$5+B73^3*CURVAS!$C$5+B73^2*CURVAS!$D$5+B73^1*CURVAS!$E$5+B73^0*CURVAS!$F$5</f>
        <v>9.818288336900002</v>
      </c>
    </row>
    <row r="496" spans="1:4" ht="15.75" x14ac:dyDescent="0.25">
      <c r="A496" s="1">
        <v>20</v>
      </c>
      <c r="B496" s="1">
        <v>112</v>
      </c>
      <c r="C496" s="1">
        <v>10</v>
      </c>
      <c r="D496" s="3">
        <f>B74^4*CURVAS!$B$5+B74^3*CURVAS!$C$5+B74^2*CURVAS!$D$5+B74^1*CURVAS!$E$5+B74^0*CURVAS!$F$5</f>
        <v>9.9674727424</v>
      </c>
    </row>
    <row r="497" spans="1:4" ht="15.75" x14ac:dyDescent="0.25">
      <c r="A497" s="1">
        <v>20</v>
      </c>
      <c r="B497" s="1">
        <v>113</v>
      </c>
      <c r="C497" s="1">
        <v>10.1</v>
      </c>
      <c r="D497" s="3">
        <f>B75^4*CURVAS!$B$5+B75^3*CURVAS!$C$5+B75^2*CURVAS!$D$5+B75^1*CURVAS!$E$5+B75^0*CURVAS!$F$5</f>
        <v>10.118336624900001</v>
      </c>
    </row>
    <row r="498" spans="1:4" ht="15.75" x14ac:dyDescent="0.25">
      <c r="A498" s="1">
        <v>20</v>
      </c>
      <c r="B498" s="1">
        <v>114</v>
      </c>
      <c r="C498" s="1">
        <v>10.199999999999999</v>
      </c>
      <c r="D498" s="3">
        <f>B76^4*CURVAS!$B$5+B76^3*CURVAS!$C$5+B76^2*CURVAS!$D$5+B76^1*CURVAS!$E$5+B76^0*CURVAS!$F$5</f>
        <v>10.270894414400001</v>
      </c>
    </row>
    <row r="499" spans="1:4" ht="15.75" x14ac:dyDescent="0.25">
      <c r="A499" s="1">
        <v>20</v>
      </c>
      <c r="B499" s="1">
        <v>115</v>
      </c>
      <c r="C499" s="1">
        <v>10.3</v>
      </c>
      <c r="D499" s="3">
        <f>B77^4*CURVAS!$B$5+B77^3*CURVAS!$C$5+B77^2*CURVAS!$D$5+B77^1*CURVAS!$E$5+B77^0*CURVAS!$F$5</f>
        <v>10.4251605625</v>
      </c>
    </row>
    <row r="500" spans="1:4" ht="15.75" x14ac:dyDescent="0.25">
      <c r="A500" s="1">
        <v>20</v>
      </c>
      <c r="B500" s="1">
        <v>116</v>
      </c>
      <c r="C500" s="1">
        <v>10.6</v>
      </c>
      <c r="D500" s="3">
        <f>B78^4*CURVAS!$B$5+B78^3*CURVAS!$C$5+B78^2*CURVAS!$D$5+B78^1*CURVAS!$E$5+B78^0*CURVAS!$F$5</f>
        <v>10.5811495424</v>
      </c>
    </row>
    <row r="501" spans="1:4" ht="15.75" x14ac:dyDescent="0.25">
      <c r="A501" s="1">
        <v>20</v>
      </c>
      <c r="B501" s="1">
        <v>117</v>
      </c>
      <c r="C501" s="1">
        <v>10.7</v>
      </c>
      <c r="D501" s="3">
        <f>B79^4*CURVAS!$B$5+B79^3*CURVAS!$C$5+B79^2*CURVAS!$D$5+B79^1*CURVAS!$E$5+B79^0*CURVAS!$F$5</f>
        <v>10.738875848900001</v>
      </c>
    </row>
    <row r="502" spans="1:4" ht="15.75" x14ac:dyDescent="0.25">
      <c r="A502" s="1">
        <v>20</v>
      </c>
      <c r="B502" s="1">
        <v>118</v>
      </c>
      <c r="C502" s="1">
        <v>10.8</v>
      </c>
      <c r="D502" s="3">
        <f>B80^4*CURVAS!$B$5+B80^3*CURVAS!$C$5+B80^2*CURVAS!$D$5+B80^1*CURVAS!$E$5+B80^0*CURVAS!$F$5</f>
        <v>10.898353998399999</v>
      </c>
    </row>
    <row r="503" spans="1:4" ht="15.75" x14ac:dyDescent="0.25">
      <c r="A503" s="1">
        <v>20</v>
      </c>
      <c r="B503" s="1">
        <v>119</v>
      </c>
      <c r="C503" s="1">
        <v>10.9</v>
      </c>
      <c r="D503" s="3">
        <f>B81^4*CURVAS!$B$5+B81^3*CURVAS!$C$5+B81^2*CURVAS!$D$5+B81^1*CURVAS!$E$5+B81^0*CURVAS!$F$5</f>
        <v>11.059598528900001</v>
      </c>
    </row>
    <row r="504" spans="1:4" ht="15.75" x14ac:dyDescent="0.25">
      <c r="A504" s="1">
        <v>20</v>
      </c>
      <c r="B504" s="1">
        <v>120</v>
      </c>
      <c r="C504" s="1">
        <v>11.3</v>
      </c>
      <c r="D504" s="3">
        <f>B82^4*CURVAS!$B$5+B82^3*CURVAS!$C$5+B82^2*CURVAS!$D$5+B82^1*CURVAS!$E$5+B82^0*CURVAS!$F$5</f>
        <v>11.222624000000001</v>
      </c>
    </row>
    <row r="505" spans="1:4" ht="15.75" x14ac:dyDescent="0.25">
      <c r="A505" s="1">
        <v>20</v>
      </c>
      <c r="B505" s="1">
        <v>121</v>
      </c>
      <c r="C505" s="1">
        <v>11.4</v>
      </c>
      <c r="D505" s="3">
        <f>B83^4*CURVAS!$B$5+B83^3*CURVAS!$C$5+B83^2*CURVAS!$D$5+B83^1*CURVAS!$E$5+B83^0*CURVAS!$F$5</f>
        <v>11.387444992900001</v>
      </c>
    </row>
    <row r="506" spans="1:4" ht="15.75" x14ac:dyDescent="0.25">
      <c r="A506" s="1">
        <v>20</v>
      </c>
      <c r="B506" s="1">
        <v>122</v>
      </c>
      <c r="C506" s="1">
        <v>11.5</v>
      </c>
      <c r="D506" s="3">
        <f>B84^4*CURVAS!$B$5+B84^3*CURVAS!$C$5+B84^2*CURVAS!$D$5+B84^1*CURVAS!$E$5+B84^0*CURVAS!$F$5</f>
        <v>11.5540761104</v>
      </c>
    </row>
    <row r="507" spans="1:4" ht="15.75" x14ac:dyDescent="0.25">
      <c r="A507" s="1">
        <v>20</v>
      </c>
      <c r="B507" s="1">
        <v>123</v>
      </c>
      <c r="C507" s="1">
        <v>11.6</v>
      </c>
      <c r="D507" s="3">
        <f>B85^4*CURVAS!$B$5+B85^3*CURVAS!$C$5+B85^2*CURVAS!$D$5+B85^1*CURVAS!$E$5+B85^0*CURVAS!$F$5</f>
        <v>11.722531976899999</v>
      </c>
    </row>
    <row r="508" spans="1:4" ht="15.75" x14ac:dyDescent="0.25">
      <c r="A508" s="1">
        <v>20</v>
      </c>
      <c r="B508" s="1">
        <v>124</v>
      </c>
      <c r="C508" s="1">
        <v>12</v>
      </c>
      <c r="D508" s="3">
        <f>B86^4*CURVAS!$B$5+B86^3*CURVAS!$C$5+B86^2*CURVAS!$D$5+B86^1*CURVAS!$E$5+B86^0*CURVAS!$F$5</f>
        <v>11.892827238400001</v>
      </c>
    </row>
    <row r="509" spans="1:4" ht="15.75" x14ac:dyDescent="0.25">
      <c r="A509" s="1">
        <v>20</v>
      </c>
      <c r="B509" s="1">
        <v>125</v>
      </c>
      <c r="C509" s="1">
        <v>12.1</v>
      </c>
      <c r="D509" s="3">
        <f>B87^4*CURVAS!$B$5+B87^3*CURVAS!$C$5+B87^2*CURVAS!$D$5+B87^1*CURVAS!$E$5+B87^0*CURVAS!$F$5</f>
        <v>12.064976562500002</v>
      </c>
    </row>
    <row r="510" spans="1:4" ht="15.75" x14ac:dyDescent="0.25">
      <c r="A510" s="1">
        <v>20</v>
      </c>
      <c r="B510" s="1">
        <v>126</v>
      </c>
      <c r="C510" s="1">
        <v>12.2</v>
      </c>
      <c r="D510" s="3">
        <f>B88^4*CURVAS!$B$5+B88^3*CURVAS!$C$5+B88^2*CURVAS!$D$5+B88^1*CURVAS!$E$5+B88^0*CURVAS!$F$5</f>
        <v>12.238994638399999</v>
      </c>
    </row>
    <row r="511" spans="1:4" ht="15.75" x14ac:dyDescent="0.25">
      <c r="A511" s="1">
        <v>20</v>
      </c>
      <c r="B511" s="1">
        <v>127</v>
      </c>
      <c r="C511" s="1">
        <v>12.3</v>
      </c>
      <c r="D511" s="3">
        <f>B89^4*CURVAS!$B$5+B89^3*CURVAS!$C$5+B89^2*CURVAS!$D$5+B89^1*CURVAS!$E$5+B89^0*CURVAS!$F$5</f>
        <v>12.414896176899999</v>
      </c>
    </row>
    <row r="512" spans="1:4" ht="15.75" x14ac:dyDescent="0.25">
      <c r="A512" s="1">
        <v>20</v>
      </c>
      <c r="B512" s="1">
        <v>128</v>
      </c>
      <c r="C512" s="1">
        <v>12.7</v>
      </c>
      <c r="D512" s="3">
        <f>B90^4*CURVAS!$B$5+B90^3*CURVAS!$C$5+B90^2*CURVAS!$D$5+B90^1*CURVAS!$E$5+B90^0*CURVAS!$F$5</f>
        <v>12.592695910400002</v>
      </c>
    </row>
    <row r="513" spans="1:4" ht="15.75" x14ac:dyDescent="0.25">
      <c r="A513" s="1">
        <v>20</v>
      </c>
      <c r="B513" s="1">
        <v>129</v>
      </c>
      <c r="C513" s="1">
        <v>12.8</v>
      </c>
      <c r="D513" s="3">
        <f>B91^4*CURVAS!$B$5+B91^3*CURVAS!$C$5+B91^2*CURVAS!$D$5+B91^1*CURVAS!$E$5+B91^0*CURVAS!$F$5</f>
        <v>12.772408592900002</v>
      </c>
    </row>
    <row r="514" spans="1:4" ht="15.75" x14ac:dyDescent="0.25">
      <c r="A514" s="1">
        <v>20</v>
      </c>
      <c r="B514" s="1">
        <v>130</v>
      </c>
      <c r="C514" s="1">
        <v>12.8</v>
      </c>
      <c r="D514" s="3">
        <f>B92^4*CURVAS!$B$5+B92^3*CURVAS!$C$5+B92^2*CURVAS!$D$5+B92^1*CURVAS!$E$5+B92^0*CURVAS!$F$5</f>
        <v>12.954049000000001</v>
      </c>
    </row>
    <row r="515" spans="1:4" ht="15.75" x14ac:dyDescent="0.25">
      <c r="A515" s="1">
        <v>20</v>
      </c>
      <c r="B515" s="1">
        <v>131</v>
      </c>
      <c r="C515" s="1">
        <v>12.9</v>
      </c>
      <c r="D515" s="3">
        <f>B93^4*CURVAS!$B$5+B93^3*CURVAS!$C$5+B93^2*CURVAS!$D$5+B93^1*CURVAS!$E$5+B93^0*CURVAS!$F$5</f>
        <v>13.137631928900001</v>
      </c>
    </row>
    <row r="516" spans="1:4" ht="15.75" x14ac:dyDescent="0.25">
      <c r="A516" s="1">
        <v>20</v>
      </c>
      <c r="B516" s="1">
        <v>132</v>
      </c>
      <c r="C516" s="1">
        <v>13.4</v>
      </c>
      <c r="D516" s="3">
        <f>B94^4*CURVAS!$B$5+B94^3*CURVAS!$C$5+B94^2*CURVAS!$D$5+B94^1*CURVAS!$E$5+B94^0*CURVAS!$F$5</f>
        <v>13.3231721984</v>
      </c>
    </row>
    <row r="517" spans="1:4" ht="15.75" x14ac:dyDescent="0.25">
      <c r="A517" s="1">
        <v>20</v>
      </c>
      <c r="B517" s="1">
        <v>133</v>
      </c>
      <c r="C517" s="1">
        <v>13.5</v>
      </c>
      <c r="D517" s="3">
        <f>B95^4*CURVAS!$B$5+B95^3*CURVAS!$C$5+B95^2*CURVAS!$D$5+B95^1*CURVAS!$E$5+B95^0*CURVAS!$F$5</f>
        <v>13.510684648900002</v>
      </c>
    </row>
    <row r="518" spans="1:4" ht="15.75" x14ac:dyDescent="0.25">
      <c r="A518" s="1">
        <v>20</v>
      </c>
      <c r="B518" s="1">
        <v>134</v>
      </c>
      <c r="C518" s="1">
        <v>13.6</v>
      </c>
      <c r="D518" s="3">
        <f>B96^4*CURVAS!$B$5+B96^3*CURVAS!$C$5+B96^2*CURVAS!$D$5+B96^1*CURVAS!$E$5+B96^0*CURVAS!$F$5</f>
        <v>13.700184142400001</v>
      </c>
    </row>
    <row r="519" spans="1:4" ht="15.75" x14ac:dyDescent="0.25">
      <c r="A519" s="1">
        <v>20</v>
      </c>
      <c r="B519" s="1">
        <v>135</v>
      </c>
      <c r="C519" s="1">
        <v>13.7</v>
      </c>
      <c r="D519" s="3">
        <f>B97^4*CURVAS!$B$5+B97^3*CURVAS!$C$5+B97^2*CURVAS!$D$5+B97^1*CURVAS!$E$5+B97^0*CURVAS!$F$5</f>
        <v>13.891685562499999</v>
      </c>
    </row>
    <row r="520" spans="1:4" ht="15.75" x14ac:dyDescent="0.25">
      <c r="A520" s="1">
        <v>20</v>
      </c>
      <c r="B520" s="1">
        <v>136</v>
      </c>
      <c r="C520" s="1">
        <v>14.2</v>
      </c>
      <c r="D520" s="3">
        <f>B98^4*CURVAS!$B$5+B98^3*CURVAS!$C$5+B98^2*CURVAS!$D$5+B98^1*CURVAS!$E$5+B98^0*CURVAS!$F$5</f>
        <v>14.085203814400002</v>
      </c>
    </row>
    <row r="521" spans="1:4" ht="15.75" x14ac:dyDescent="0.25">
      <c r="A521" s="1">
        <v>20</v>
      </c>
      <c r="B521" s="1">
        <v>137</v>
      </c>
      <c r="C521" s="1">
        <v>14.3</v>
      </c>
      <c r="D521" s="3">
        <f>B99^4*CURVAS!$B$5+B99^3*CURVAS!$C$5+B99^2*CURVAS!$D$5+B99^1*CURVAS!$E$5+B99^0*CURVAS!$F$5</f>
        <v>14.280753824900001</v>
      </c>
    </row>
    <row r="522" spans="1:4" ht="15.75" x14ac:dyDescent="0.25">
      <c r="A522" s="1">
        <v>20</v>
      </c>
      <c r="B522" s="1">
        <v>138</v>
      </c>
      <c r="C522" s="1">
        <v>14.4</v>
      </c>
      <c r="D522" s="3">
        <f>B100^4*CURVAS!$B$5+B100^3*CURVAS!$C$5+B100^2*CURVAS!$D$5+B100^1*CURVAS!$E$5+B100^0*CURVAS!$F$5</f>
        <v>14.478350542399999</v>
      </c>
    </row>
    <row r="523" spans="1:4" ht="15.75" x14ac:dyDescent="0.25">
      <c r="A523" s="1">
        <v>20</v>
      </c>
      <c r="B523" s="1">
        <v>139</v>
      </c>
      <c r="C523" s="1">
        <v>14.5</v>
      </c>
      <c r="D523" s="3">
        <f>B101^4*CURVAS!$B$5+B101^3*CURVAS!$C$5+B101^2*CURVAS!$D$5+B101^1*CURVAS!$E$5+B101^0*CURVAS!$F$5</f>
        <v>14.678008936900001</v>
      </c>
    </row>
    <row r="524" spans="1:4" ht="15.75" x14ac:dyDescent="0.25">
      <c r="A524" s="1">
        <v>20</v>
      </c>
      <c r="B524" s="1">
        <v>140</v>
      </c>
      <c r="C524" s="1">
        <v>15</v>
      </c>
      <c r="D524" s="3">
        <f>B102^4*CURVAS!$B$5+B102^3*CURVAS!$C$5+B102^2*CURVAS!$D$5+B102^1*CURVAS!$E$5+B102^0*CURVAS!$F$5</f>
        <v>14.879744000000001</v>
      </c>
    </row>
    <row r="525" spans="1:4" ht="15.75" x14ac:dyDescent="0.25">
      <c r="A525" s="1">
        <v>20</v>
      </c>
      <c r="B525" s="1">
        <v>141</v>
      </c>
      <c r="C525" s="1">
        <v>15.1</v>
      </c>
      <c r="D525" s="3">
        <f>B103^4*CURVAS!$B$5+B103^3*CURVAS!$C$5+B103^2*CURVAS!$D$5+B103^1*CURVAS!$E$5+B103^0*CURVAS!$F$5</f>
        <v>15.083570744900001</v>
      </c>
    </row>
    <row r="526" spans="1:4" ht="15.75" x14ac:dyDescent="0.25">
      <c r="A526" s="1">
        <v>20</v>
      </c>
      <c r="B526" s="1">
        <v>142</v>
      </c>
      <c r="C526" s="1">
        <v>15.2</v>
      </c>
      <c r="D526" s="3">
        <f>B104^4*CURVAS!$B$5+B104^3*CURVAS!$C$5+B104^2*CURVAS!$D$5+B104^1*CURVAS!$E$5+B104^0*CURVAS!$F$5</f>
        <v>15.289504206399998</v>
      </c>
    </row>
    <row r="527" spans="1:4" ht="15.75" x14ac:dyDescent="0.25">
      <c r="A527" s="1">
        <v>20</v>
      </c>
      <c r="B527" s="1">
        <v>143</v>
      </c>
      <c r="C527" s="1">
        <v>15.3</v>
      </c>
      <c r="D527" s="3">
        <f>B105^4*CURVAS!$B$5+B105^3*CURVAS!$C$5+B105^2*CURVAS!$D$5+B105^1*CURVAS!$E$5+B105^0*CURVAS!$F$5</f>
        <v>15.4975594409</v>
      </c>
    </row>
    <row r="528" spans="1:4" ht="15.75" x14ac:dyDescent="0.25">
      <c r="A528" s="1">
        <v>20</v>
      </c>
      <c r="B528" s="1">
        <v>144</v>
      </c>
      <c r="C528" s="1">
        <v>15.8</v>
      </c>
      <c r="D528" s="3">
        <f>B106^4*CURVAS!$B$5+B106^3*CURVAS!$C$5+B106^2*CURVAS!$D$5+B106^1*CURVAS!$E$5+B106^0*CURVAS!$F$5</f>
        <v>15.707751526400001</v>
      </c>
    </row>
    <row r="529" spans="1:4" ht="15.75" x14ac:dyDescent="0.25">
      <c r="A529" s="1">
        <v>20</v>
      </c>
      <c r="B529" s="1">
        <v>145</v>
      </c>
      <c r="C529" s="1">
        <v>15.9</v>
      </c>
      <c r="D529" s="3">
        <f>B107^4*CURVAS!$B$5+B107^3*CURVAS!$C$5+B107^2*CURVAS!$D$5+B107^1*CURVAS!$E$5+B107^0*CURVAS!$F$5</f>
        <v>15.9200955625</v>
      </c>
    </row>
    <row r="530" spans="1:4" ht="15.75" x14ac:dyDescent="0.25">
      <c r="A530" s="1">
        <v>20</v>
      </c>
      <c r="B530" s="1">
        <v>146</v>
      </c>
      <c r="C530" s="1">
        <v>16</v>
      </c>
      <c r="D530" s="3">
        <f>B108^4*CURVAS!$B$5+B108^3*CURVAS!$C$5+B108^2*CURVAS!$D$5+B108^1*CURVAS!$E$5+B108^0*CURVAS!$F$5</f>
        <v>16.1346066704</v>
      </c>
    </row>
    <row r="531" spans="1:4" ht="15.75" x14ac:dyDescent="0.25">
      <c r="A531" s="1">
        <v>20</v>
      </c>
      <c r="B531" s="1">
        <v>147</v>
      </c>
      <c r="C531" s="1">
        <v>16.100000000000001</v>
      </c>
      <c r="D531" s="3">
        <f>B109^4*CURVAS!$B$5+B109^3*CURVAS!$C$5+B109^2*CURVAS!$D$5+B109^1*CURVAS!$E$5+B109^0*CURVAS!$F$5</f>
        <v>16.3512999929</v>
      </c>
    </row>
    <row r="532" spans="1:4" ht="15.75" x14ac:dyDescent="0.25">
      <c r="A532" s="1">
        <v>20</v>
      </c>
      <c r="B532" s="1">
        <v>148</v>
      </c>
      <c r="C532" s="1">
        <v>16.7</v>
      </c>
      <c r="D532" s="3">
        <f>B110^4*CURVAS!$B$5+B110^3*CURVAS!$C$5+B110^2*CURVAS!$D$5+B110^1*CURVAS!$E$5+B110^0*CURVAS!$F$5</f>
        <v>16.570190694399997</v>
      </c>
    </row>
    <row r="533" spans="1:4" ht="15.75" x14ac:dyDescent="0.25">
      <c r="A533" s="1">
        <v>20</v>
      </c>
      <c r="B533" s="1">
        <v>149</v>
      </c>
      <c r="C533" s="1">
        <v>16.8</v>
      </c>
      <c r="D533" s="3">
        <f>B111^4*CURVAS!$B$5+B111^3*CURVAS!$C$5+B111^2*CURVAS!$D$5+B111^1*CURVAS!$E$5+B111^0*CURVAS!$F$5</f>
        <v>16.791293960899999</v>
      </c>
    </row>
    <row r="534" spans="1:4" ht="15.75" x14ac:dyDescent="0.25">
      <c r="A534" s="1">
        <v>20</v>
      </c>
      <c r="B534" s="1">
        <v>150</v>
      </c>
      <c r="C534" s="1">
        <v>16.899999999999999</v>
      </c>
      <c r="D534" s="3">
        <f>B112^4*CURVAS!$B$5+B112^3*CURVAS!$C$5+B112^2*CURVAS!$D$5+B112^1*CURVAS!$E$5+B112^0*CURVAS!$F$5</f>
        <v>17.014625000000002</v>
      </c>
    </row>
    <row r="535" spans="1:4" ht="15.75" x14ac:dyDescent="0.25">
      <c r="A535" s="1">
        <v>20</v>
      </c>
      <c r="B535" s="1">
        <v>151</v>
      </c>
      <c r="C535" s="1">
        <v>17</v>
      </c>
      <c r="D535" s="3">
        <f>B113^4*CURVAS!$B$5+B113^3*CURVAS!$C$5+B113^2*CURVAS!$D$5+B113^1*CURVAS!$E$5+B113^0*CURVAS!$F$5</f>
        <v>17.240199040899999</v>
      </c>
    </row>
    <row r="536" spans="1:4" ht="15.75" x14ac:dyDescent="0.25">
      <c r="A536" s="1">
        <v>20</v>
      </c>
      <c r="B536" s="1">
        <v>152</v>
      </c>
      <c r="C536" s="1">
        <v>17.600000000000001</v>
      </c>
      <c r="D536" s="3">
        <f>B114^4*CURVAS!$B$5+B114^3*CURVAS!$C$5+B114^2*CURVAS!$D$5+B114^1*CURVAS!$E$5+B114^0*CURVAS!$F$5</f>
        <v>17.468031334399999</v>
      </c>
    </row>
    <row r="537" spans="1:4" ht="15.75" x14ac:dyDescent="0.25">
      <c r="A537" s="1">
        <v>20</v>
      </c>
      <c r="B537" s="1">
        <v>153</v>
      </c>
      <c r="C537" s="1">
        <v>17.7</v>
      </c>
      <c r="D537" s="3">
        <f>B115^4*CURVAS!$B$5+B115^3*CURVAS!$C$5+B115^2*CURVAS!$D$5+B115^1*CURVAS!$E$5+B115^0*CURVAS!$F$5</f>
        <v>17.698137152899999</v>
      </c>
    </row>
    <row r="538" spans="1:4" ht="15.75" x14ac:dyDescent="0.25">
      <c r="A538" s="1">
        <v>20</v>
      </c>
      <c r="B538" s="1">
        <v>154</v>
      </c>
      <c r="C538" s="1">
        <v>17.8</v>
      </c>
      <c r="D538" s="3">
        <f>B116^4*CURVAS!$B$5+B116^3*CURVAS!$C$5+B116^2*CURVAS!$D$5+B116^1*CURVAS!$E$5+B116^0*CURVAS!$F$5</f>
        <v>17.930531790399996</v>
      </c>
    </row>
    <row r="539" spans="1:4" ht="15.75" x14ac:dyDescent="0.25">
      <c r="A539" s="1">
        <v>20</v>
      </c>
      <c r="B539" s="1">
        <v>155</v>
      </c>
      <c r="C539" s="1">
        <v>17.899999999999999</v>
      </c>
      <c r="D539" s="3">
        <f>B117^4*CURVAS!$B$5+B117^3*CURVAS!$C$5+B117^2*CURVAS!$D$5+B117^1*CURVAS!$E$5+B117^0*CURVAS!$F$5</f>
        <v>18.1652305625</v>
      </c>
    </row>
    <row r="540" spans="1:4" ht="15.75" x14ac:dyDescent="0.25">
      <c r="A540" s="1">
        <v>20</v>
      </c>
      <c r="B540" s="1">
        <v>156</v>
      </c>
      <c r="C540" s="1">
        <v>18.5</v>
      </c>
      <c r="D540" s="3">
        <f>B118^4*CURVAS!$B$5+B118^3*CURVAS!$C$5+B118^2*CURVAS!$D$5+B118^1*CURVAS!$E$5+B118^0*CURVAS!$F$5</f>
        <v>18.402248806399999</v>
      </c>
    </row>
    <row r="541" spans="1:4" ht="15.75" x14ac:dyDescent="0.25">
      <c r="A541" s="1">
        <v>20</v>
      </c>
      <c r="B541" s="1">
        <v>157</v>
      </c>
      <c r="C541" s="1">
        <v>18.600000000000001</v>
      </c>
      <c r="D541" s="3">
        <f>B119^4*CURVAS!$B$5+B119^3*CURVAS!$C$5+B119^2*CURVAS!$D$5+B119^1*CURVAS!$E$5+B119^0*CURVAS!$F$5</f>
        <v>18.641601880899998</v>
      </c>
    </row>
    <row r="542" spans="1:4" ht="15.75" x14ac:dyDescent="0.25">
      <c r="A542" s="1">
        <v>20</v>
      </c>
      <c r="B542" s="1">
        <v>158</v>
      </c>
      <c r="C542" s="1">
        <v>18.7</v>
      </c>
      <c r="D542" s="3">
        <f>B120^4*CURVAS!$B$5+B120^3*CURVAS!$C$5+B120^2*CURVAS!$D$5+B120^1*CURVAS!$E$5+B120^0*CURVAS!$F$5</f>
        <v>18.8833051664</v>
      </c>
    </row>
    <row r="543" spans="1:4" ht="15.75" x14ac:dyDescent="0.25">
      <c r="A543" s="1">
        <v>20</v>
      </c>
      <c r="B543" s="1">
        <v>159</v>
      </c>
      <c r="C543" s="1">
        <v>18.899999999999999</v>
      </c>
      <c r="D543" s="3">
        <f>B121^4*CURVAS!$B$5+B121^3*CURVAS!$C$5+B121^2*CURVAS!$D$5+B121^1*CURVAS!$E$5+B121^0*CURVAS!$F$5</f>
        <v>19.1273740649</v>
      </c>
    </row>
    <row r="544" spans="1:4" ht="15.75" x14ac:dyDescent="0.25">
      <c r="A544" s="1">
        <v>20</v>
      </c>
      <c r="B544" s="1">
        <v>160</v>
      </c>
      <c r="C544" s="1">
        <v>19.5</v>
      </c>
      <c r="D544" s="3">
        <f>B122^4*CURVAS!$B$5+B122^3*CURVAS!$C$5+B122^2*CURVAS!$D$5+B122^1*CURVAS!$E$5+B122^0*CURVAS!$F$5</f>
        <v>19.373823999999999</v>
      </c>
    </row>
    <row r="545" spans="1:4" ht="15.75" x14ac:dyDescent="0.25">
      <c r="A545" s="1">
        <v>20</v>
      </c>
      <c r="B545" s="1">
        <v>161</v>
      </c>
      <c r="C545" s="1">
        <v>19.600000000000001</v>
      </c>
      <c r="D545" s="3">
        <f>B123^4*CURVAS!$B$5+B123^3*CURVAS!$C$5+B123^2*CURVAS!$D$5+B123^1*CURVAS!$E$5+B123^0*CURVAS!$F$5</f>
        <v>19.6226704169</v>
      </c>
    </row>
    <row r="546" spans="1:4" ht="15.75" x14ac:dyDescent="0.25">
      <c r="A546" s="1">
        <v>20</v>
      </c>
      <c r="B546" s="1">
        <v>162</v>
      </c>
      <c r="C546" s="1">
        <v>19.8</v>
      </c>
      <c r="D546" s="3">
        <f>B124^4*CURVAS!$B$5+B124^3*CURVAS!$C$5+B124^2*CURVAS!$D$5+B124^1*CURVAS!$E$5+B124^0*CURVAS!$F$5</f>
        <v>19.873928782399997</v>
      </c>
    </row>
    <row r="547" spans="1:4" ht="15.75" x14ac:dyDescent="0.25">
      <c r="A547" s="1">
        <v>20</v>
      </c>
      <c r="B547" s="1">
        <v>163</v>
      </c>
      <c r="C547" s="1">
        <v>19.899999999999999</v>
      </c>
      <c r="D547" s="3">
        <f>B125^4*CURVAS!$B$5+B125^3*CURVAS!$C$5+B125^2*CURVAS!$D$5+B125^1*CURVAS!$E$5+B125^0*CURVAS!$F$5</f>
        <v>20.127614584899998</v>
      </c>
    </row>
    <row r="548" spans="1:4" ht="15.75" x14ac:dyDescent="0.25">
      <c r="A548" s="1">
        <v>20</v>
      </c>
      <c r="B548" s="1">
        <v>164</v>
      </c>
      <c r="C548" s="1">
        <v>20.5</v>
      </c>
      <c r="D548" s="3">
        <f>B126^4*CURVAS!$B$5+B126^3*CURVAS!$C$5+B126^2*CURVAS!$D$5+B126^1*CURVAS!$E$5+B126^0*CURVAS!$F$5</f>
        <v>20.383743334399998</v>
      </c>
    </row>
    <row r="549" spans="1:4" ht="15.75" x14ac:dyDescent="0.25">
      <c r="A549" s="1">
        <v>20</v>
      </c>
      <c r="B549" s="1">
        <v>165</v>
      </c>
      <c r="C549" s="1">
        <v>20.6</v>
      </c>
      <c r="D549" s="3">
        <f>B127^4*CURVAS!$B$5+B127^3*CURVAS!$C$5+B127^2*CURVAS!$D$5+B127^1*CURVAS!$E$5+B127^0*CURVAS!$F$5</f>
        <v>20.6423305625</v>
      </c>
    </row>
    <row r="550" spans="1:4" ht="15.75" x14ac:dyDescent="0.25">
      <c r="A550" s="1">
        <v>20</v>
      </c>
      <c r="B550" s="1">
        <v>166</v>
      </c>
      <c r="C550" s="1">
        <v>20.7</v>
      </c>
      <c r="D550" s="3">
        <f>B128^4*CURVAS!$B$5+B128^3*CURVAS!$C$5+B128^2*CURVAS!$D$5+B128^1*CURVAS!$E$5+B128^0*CURVAS!$F$5</f>
        <v>20.9033918224</v>
      </c>
    </row>
    <row r="551" spans="1:4" ht="15.75" x14ac:dyDescent="0.25">
      <c r="A551" s="1">
        <v>20</v>
      </c>
      <c r="B551" s="1">
        <v>167</v>
      </c>
      <c r="C551" s="1">
        <v>20.9</v>
      </c>
      <c r="D551" s="3">
        <f>B129^4*CURVAS!$B$5+B129^3*CURVAS!$C$5+B129^2*CURVAS!$D$5+B129^1*CURVAS!$E$5+B129^0*CURVAS!$F$5</f>
        <v>21.166942688900001</v>
      </c>
    </row>
    <row r="552" spans="1:4" ht="15.75" x14ac:dyDescent="0.25">
      <c r="A552" s="1">
        <v>20</v>
      </c>
      <c r="B552" s="1">
        <v>168</v>
      </c>
      <c r="C552" s="1">
        <v>21.6</v>
      </c>
      <c r="D552" s="3">
        <f>B130^4*CURVAS!$B$5+B130^3*CURVAS!$C$5+B130^2*CURVAS!$D$5+B130^1*CURVAS!$E$5+B130^0*CURVAS!$F$5</f>
        <v>21.4329987584</v>
      </c>
    </row>
    <row r="553" spans="1:4" ht="15.75" x14ac:dyDescent="0.25">
      <c r="A553" s="1">
        <v>20</v>
      </c>
      <c r="B553" s="1">
        <v>169</v>
      </c>
      <c r="C553" s="1">
        <v>21.7</v>
      </c>
      <c r="D553" s="3">
        <f>B131^4*CURVAS!$B$5+B131^3*CURVAS!$C$5+B131^2*CURVAS!$D$5+B131^1*CURVAS!$E$5+B131^0*CURVAS!$F$5</f>
        <v>21.701575648899997</v>
      </c>
    </row>
    <row r="554" spans="1:4" ht="15.75" x14ac:dyDescent="0.25">
      <c r="A554" s="1">
        <v>20</v>
      </c>
      <c r="B554" s="1">
        <v>170</v>
      </c>
      <c r="C554" s="1">
        <v>21.8</v>
      </c>
      <c r="D554" s="3">
        <f>B132^4*CURVAS!$B$5+B132^3*CURVAS!$C$5+B132^2*CURVAS!$D$5+B132^1*CURVAS!$E$5+B132^0*CURVAS!$F$5</f>
        <v>21.972688999999999</v>
      </c>
    </row>
    <row r="555" spans="1:4" ht="15.75" x14ac:dyDescent="0.25">
      <c r="A555" s="1">
        <v>20</v>
      </c>
      <c r="B555" s="1">
        <v>171</v>
      </c>
      <c r="C555" s="1">
        <v>21.9</v>
      </c>
      <c r="D555" s="3">
        <f>B133^4*CURVAS!$B$5+B133^3*CURVAS!$C$5+B133^2*CURVAS!$D$5+B133^1*CURVAS!$E$5+B133^0*CURVAS!$F$5</f>
        <v>22.246354472899998</v>
      </c>
    </row>
    <row r="556" spans="1:4" ht="15.75" x14ac:dyDescent="0.25">
      <c r="A556" s="1">
        <v>20</v>
      </c>
      <c r="B556" s="1">
        <v>172</v>
      </c>
      <c r="C556" s="1">
        <v>22.6</v>
      </c>
      <c r="D556" s="3">
        <f>B134^4*CURVAS!$B$5+B134^3*CURVAS!$C$5+B134^2*CURVAS!$D$5+B134^1*CURVAS!$E$5+B134^0*CURVAS!$F$5</f>
        <v>22.5225877504</v>
      </c>
    </row>
    <row r="557" spans="1:4" ht="15.75" x14ac:dyDescent="0.25">
      <c r="A557" s="1">
        <v>20</v>
      </c>
      <c r="B557" s="1">
        <v>173</v>
      </c>
      <c r="C557" s="1">
        <v>22.8</v>
      </c>
      <c r="D557" s="3">
        <f>B135^4*CURVAS!$B$5+B135^3*CURVAS!$C$5+B135^2*CURVAS!$D$5+B135^1*CURVAS!$E$5+B135^0*CURVAS!$F$5</f>
        <v>22.801404536899998</v>
      </c>
    </row>
    <row r="558" spans="1:4" ht="15.75" x14ac:dyDescent="0.25">
      <c r="A558" s="1">
        <v>20</v>
      </c>
      <c r="B558" s="1">
        <v>174</v>
      </c>
      <c r="C558" s="1">
        <v>23</v>
      </c>
      <c r="D558" s="3">
        <f>B136^4*CURVAS!$B$5+B136^3*CURVAS!$C$5+B136^2*CURVAS!$D$5+B136^1*CURVAS!$E$5+B136^0*CURVAS!$F$5</f>
        <v>23.082820558399998</v>
      </c>
    </row>
    <row r="559" spans="1:4" ht="15.75" x14ac:dyDescent="0.25">
      <c r="A559" s="1">
        <v>20</v>
      </c>
      <c r="B559" s="1">
        <v>175</v>
      </c>
      <c r="C559" s="1">
        <v>23.1</v>
      </c>
      <c r="D559" s="3">
        <f>B137^4*CURVAS!$B$5+B137^3*CURVAS!$C$5+B137^2*CURVAS!$D$5+B137^1*CURVAS!$E$5+B137^0*CURVAS!$F$5</f>
        <v>23.366851562499999</v>
      </c>
    </row>
    <row r="560" spans="1:4" ht="15.75" x14ac:dyDescent="0.25">
      <c r="A560" s="1">
        <v>20</v>
      </c>
      <c r="B560" s="1">
        <v>176</v>
      </c>
      <c r="C560" s="1">
        <v>23.8</v>
      </c>
      <c r="D560" s="3">
        <f>B138^4*CURVAS!$B$5+B138^3*CURVAS!$C$5+B138^2*CURVAS!$D$5+B138^1*CURVAS!$E$5+B138^0*CURVAS!$F$5</f>
        <v>23.653513318399998</v>
      </c>
    </row>
    <row r="561" spans="1:4" ht="15.75" x14ac:dyDescent="0.25">
      <c r="A561" s="1">
        <v>20</v>
      </c>
      <c r="B561" s="1">
        <v>177</v>
      </c>
      <c r="C561" s="1">
        <v>23.9</v>
      </c>
      <c r="D561" s="3">
        <f>B139^4*CURVAS!$B$5+B139^3*CURVAS!$C$5+B139^2*CURVAS!$D$5+B139^1*CURVAS!$E$5+B139^0*CURVAS!$F$5</f>
        <v>23.942821616899998</v>
      </c>
    </row>
    <row r="562" spans="1:4" ht="15.75" x14ac:dyDescent="0.25">
      <c r="A562" s="1">
        <v>20</v>
      </c>
      <c r="B562" s="1">
        <v>178</v>
      </c>
      <c r="C562" s="1">
        <v>24.1</v>
      </c>
      <c r="D562" s="3">
        <f>B140^4*CURVAS!$B$5+B140^3*CURVAS!$C$5+B140^2*CURVAS!$D$5+B140^1*CURVAS!$E$5+B140^0*CURVAS!$F$5</f>
        <v>24.2347922704</v>
      </c>
    </row>
    <row r="563" spans="1:4" ht="15.75" x14ac:dyDescent="0.25">
      <c r="A563" s="1">
        <v>20</v>
      </c>
      <c r="B563" s="1">
        <v>179</v>
      </c>
      <c r="C563" s="1">
        <v>24.3</v>
      </c>
      <c r="D563" s="3">
        <f>B141^4*CURVAS!$B$5+B141^3*CURVAS!$C$5+B141^2*CURVAS!$D$5+B141^1*CURVAS!$E$5+B141^0*CURVAS!$F$5</f>
        <v>24.529441112899995</v>
      </c>
    </row>
    <row r="564" spans="1:4" ht="15.75" x14ac:dyDescent="0.25">
      <c r="A564" s="1">
        <v>20</v>
      </c>
      <c r="B564" s="1">
        <v>180</v>
      </c>
      <c r="C564" s="1">
        <v>25</v>
      </c>
      <c r="D564" s="3">
        <f>B142^4*CURVAS!$B$5+B142^3*CURVAS!$C$5+B142^2*CURVAS!$D$5+B142^1*CURVAS!$E$5+B142^0*CURVAS!$F$5</f>
        <v>24.826784</v>
      </c>
    </row>
    <row r="565" spans="1:4" ht="15.75" x14ac:dyDescent="0.25">
      <c r="A565" s="1">
        <v>20</v>
      </c>
      <c r="B565" s="1">
        <v>181</v>
      </c>
      <c r="C565" s="1">
        <v>25.1</v>
      </c>
      <c r="D565" s="3">
        <f>B143^4*CURVAS!$B$5+B143^3*CURVAS!$C$5+B143^2*CURVAS!$D$5+B143^1*CURVAS!$E$5+B143^0*CURVAS!$F$5</f>
        <v>25.126836808900002</v>
      </c>
    </row>
    <row r="566" spans="1:4" ht="15.75" x14ac:dyDescent="0.25">
      <c r="A566" s="1">
        <v>20</v>
      </c>
      <c r="B566" s="1">
        <v>182</v>
      </c>
      <c r="C566" s="1">
        <v>25.3</v>
      </c>
      <c r="D566" s="3">
        <f>B144^4*CURVAS!$B$5+B144^3*CURVAS!$C$5+B144^2*CURVAS!$D$5+B144^1*CURVAS!$E$5+B144^0*CURVAS!$F$5</f>
        <v>25.429615438399999</v>
      </c>
    </row>
    <row r="567" spans="1:4" ht="15.75" x14ac:dyDescent="0.25">
      <c r="A567" s="1">
        <v>20</v>
      </c>
      <c r="B567" s="1">
        <v>183</v>
      </c>
      <c r="C567" s="1">
        <v>25.4</v>
      </c>
      <c r="D567" s="3">
        <f>B145^4*CURVAS!$B$5+B145^3*CURVAS!$C$5+B145^2*CURVAS!$D$5+B145^1*CURVAS!$E$5+B145^0*CURVAS!$F$5</f>
        <v>25.735135808899997</v>
      </c>
    </row>
    <row r="568" spans="1:4" ht="15.75" x14ac:dyDescent="0.25">
      <c r="A568" s="1">
        <v>20</v>
      </c>
      <c r="B568" s="1">
        <v>184</v>
      </c>
      <c r="C568" s="1">
        <v>26.1</v>
      </c>
      <c r="D568" s="3">
        <f>B146^4*CURVAS!$B$5+B146^3*CURVAS!$C$5+B146^2*CURVAS!$D$5+B146^1*CURVAS!$E$5+B146^0*CURVAS!$F$5</f>
        <v>26.043413862400001</v>
      </c>
    </row>
    <row r="569" spans="1:4" ht="15.75" x14ac:dyDescent="0.25">
      <c r="A569" s="1">
        <v>20</v>
      </c>
      <c r="B569" s="1">
        <v>185</v>
      </c>
      <c r="C569" s="1">
        <v>26.3</v>
      </c>
      <c r="D569" s="3">
        <f>B147^4*CURVAS!$B$5+B147^3*CURVAS!$C$5+B147^2*CURVAS!$D$5+B147^1*CURVAS!$E$5+B147^0*CURVAS!$F$5</f>
        <v>26.354465562499996</v>
      </c>
    </row>
    <row r="570" spans="1:4" ht="15.75" x14ac:dyDescent="0.25">
      <c r="A570" s="1">
        <v>20</v>
      </c>
      <c r="B570" s="1">
        <v>186</v>
      </c>
      <c r="C570" s="1">
        <v>26.4</v>
      </c>
      <c r="D570" s="3">
        <f>B148^4*CURVAS!$B$5+B148^3*CURVAS!$C$5+B148^2*CURVAS!$D$5+B148^1*CURVAS!$E$5+B148^0*CURVAS!$F$5</f>
        <v>26.668306894399997</v>
      </c>
    </row>
    <row r="571" spans="1:4" ht="15.75" x14ac:dyDescent="0.25">
      <c r="A571" s="1">
        <v>20</v>
      </c>
      <c r="B571" s="1">
        <v>187</v>
      </c>
      <c r="C571" s="1">
        <v>26.6</v>
      </c>
      <c r="D571" s="3">
        <f>B149^4*CURVAS!$B$5+B149^3*CURVAS!$C$5+B149^2*CURVAS!$D$5+B149^1*CURVAS!$E$5+B149^0*CURVAS!$F$5</f>
        <v>26.9849538649</v>
      </c>
    </row>
    <row r="572" spans="1:4" ht="15.75" x14ac:dyDescent="0.25">
      <c r="A572" s="1">
        <v>20</v>
      </c>
      <c r="B572" s="1">
        <v>188</v>
      </c>
      <c r="C572" s="1">
        <v>27.4</v>
      </c>
      <c r="D572" s="3">
        <f>B150^4*CURVAS!$B$5+B150^3*CURVAS!$C$5+B150^2*CURVAS!$D$5+B150^1*CURVAS!$E$5+B150^0*CURVAS!$F$5</f>
        <v>27.304422502400001</v>
      </c>
    </row>
    <row r="573" spans="1:4" ht="15.75" x14ac:dyDescent="0.25">
      <c r="A573" s="1">
        <v>20</v>
      </c>
      <c r="B573" s="1">
        <v>189</v>
      </c>
      <c r="C573" s="1">
        <v>27.6</v>
      </c>
      <c r="D573" s="3">
        <f>B151^4*CURVAS!$B$5+B151^3*CURVAS!$C$5+B151^2*CURVAS!$D$5+B151^1*CURVAS!$E$5+B151^0*CURVAS!$F$5</f>
        <v>27.626728856900002</v>
      </c>
    </row>
    <row r="574" spans="1:4" ht="15.75" x14ac:dyDescent="0.25">
      <c r="A574" s="1">
        <v>20</v>
      </c>
      <c r="B574" s="1">
        <v>190</v>
      </c>
      <c r="C574" s="1">
        <v>27.8</v>
      </c>
      <c r="D574" s="3">
        <f>B152^4*CURVAS!$B$5+B152^3*CURVAS!$C$5+B152^2*CURVAS!$D$5+B152^1*CURVAS!$E$5+B152^0*CURVAS!$F$5</f>
        <v>27.951889000000001</v>
      </c>
    </row>
    <row r="575" spans="1:4" ht="15.75" x14ac:dyDescent="0.25">
      <c r="A575" s="1">
        <v>20</v>
      </c>
      <c r="B575" s="1">
        <v>191</v>
      </c>
      <c r="C575" s="1">
        <v>28</v>
      </c>
      <c r="D575" s="3">
        <f>B153^4*CURVAS!$B$5+B153^3*CURVAS!$C$5+B153^2*CURVAS!$D$5+B153^1*CURVAS!$E$5+B153^0*CURVAS!$F$5</f>
        <v>28.279919024899996</v>
      </c>
    </row>
    <row r="576" spans="1:4" ht="15.75" x14ac:dyDescent="0.25">
      <c r="A576" s="1">
        <v>20</v>
      </c>
      <c r="B576" s="1">
        <v>192</v>
      </c>
      <c r="C576" s="1">
        <v>28.6</v>
      </c>
      <c r="D576" s="3">
        <f>B154^4*CURVAS!$B$5+B154^3*CURVAS!$C$5+B154^2*CURVAS!$D$5+B154^1*CURVAS!$E$5+B154^0*CURVAS!$F$5</f>
        <v>28.610835046399998</v>
      </c>
    </row>
    <row r="577" spans="1:4" ht="15.75" x14ac:dyDescent="0.25">
      <c r="A577" s="1">
        <v>20</v>
      </c>
      <c r="B577" s="1">
        <v>193</v>
      </c>
      <c r="C577" s="1">
        <v>28.9</v>
      </c>
      <c r="D577" s="3">
        <f>B155^4*CURVAS!$B$5+B155^3*CURVAS!$C$5+B155^2*CURVAS!$D$5+B155^1*CURVAS!$E$5+B155^0*CURVAS!$F$5</f>
        <v>28.944653200899999</v>
      </c>
    </row>
    <row r="578" spans="1:4" ht="15.75" x14ac:dyDescent="0.25">
      <c r="A578" s="1">
        <v>20</v>
      </c>
      <c r="B578" s="1">
        <v>194</v>
      </c>
      <c r="C578" s="1">
        <v>29.1</v>
      </c>
      <c r="D578" s="3">
        <f>B156^4*CURVAS!$B$5+B156^3*CURVAS!$C$5+B156^2*CURVAS!$D$5+B156^1*CURVAS!$E$5+B156^0*CURVAS!$F$5</f>
        <v>29.281389646400001</v>
      </c>
    </row>
    <row r="579" spans="1:4" ht="15.75" x14ac:dyDescent="0.25">
      <c r="A579" s="1">
        <v>20</v>
      </c>
      <c r="B579" s="1">
        <v>195</v>
      </c>
      <c r="C579" s="1">
        <v>29.3</v>
      </c>
      <c r="D579" s="3">
        <f>B157^4*CURVAS!$B$5+B157^3*CURVAS!$C$5+B157^2*CURVAS!$D$5+B157^1*CURVAS!$E$5+B157^0*CURVAS!$F$5</f>
        <v>29.621060562499999</v>
      </c>
    </row>
    <row r="580" spans="1:4" ht="15.75" x14ac:dyDescent="0.25">
      <c r="A580" s="1">
        <v>20</v>
      </c>
      <c r="B580" s="1">
        <v>196</v>
      </c>
      <c r="C580" s="1">
        <v>30.1</v>
      </c>
      <c r="D580" s="3">
        <f>B158^4*CURVAS!$B$5+B158^3*CURVAS!$C$5+B158^2*CURVAS!$D$5+B158^1*CURVAS!$E$5+B158^0*CURVAS!$F$5</f>
        <v>29.963682150399997</v>
      </c>
    </row>
    <row r="581" spans="1:4" ht="15.75" x14ac:dyDescent="0.25">
      <c r="A581" s="1">
        <v>20</v>
      </c>
      <c r="B581" s="1">
        <v>197</v>
      </c>
      <c r="C581" s="1">
        <v>30.3</v>
      </c>
      <c r="D581" s="3">
        <f>B159^4*CURVAS!$B$5+B159^3*CURVAS!$C$5+B159^2*CURVAS!$D$5+B159^1*CURVAS!$E$5+B159^0*CURVAS!$F$5</f>
        <v>30.309270632899999</v>
      </c>
    </row>
    <row r="582" spans="1:4" ht="15.75" x14ac:dyDescent="0.25">
      <c r="A582" s="1">
        <v>20</v>
      </c>
      <c r="B582" s="1">
        <v>198</v>
      </c>
      <c r="C582" s="1">
        <v>30.4</v>
      </c>
      <c r="D582" s="3">
        <f>B160^4*CURVAS!$B$5+B160^3*CURVAS!$C$5+B160^2*CURVAS!$D$5+B160^1*CURVAS!$E$5+B160^0*CURVAS!$F$5</f>
        <v>30.657842254399998</v>
      </c>
    </row>
    <row r="583" spans="1:4" ht="15.75" x14ac:dyDescent="0.25">
      <c r="A583" s="1">
        <v>20</v>
      </c>
      <c r="B583" s="1">
        <v>199</v>
      </c>
      <c r="C583" s="1">
        <v>30.6</v>
      </c>
      <c r="D583" s="3">
        <f>B161^4*CURVAS!$B$5+B161^3*CURVAS!$C$5+B161^2*CURVAS!$D$5+B161^1*CURVAS!$E$5+B161^0*CURVAS!$F$5</f>
        <v>31.009413280899999</v>
      </c>
    </row>
    <row r="584" spans="1:4" ht="15.75" x14ac:dyDescent="0.25">
      <c r="A584" s="1">
        <v>20</v>
      </c>
      <c r="B584" s="1">
        <v>200</v>
      </c>
      <c r="C584" s="1">
        <v>31.5</v>
      </c>
      <c r="D584" s="3">
        <f>B162^4*CURVAS!$B$5+B162^3*CURVAS!$C$5+B162^2*CURVAS!$D$5+B162^1*CURVAS!$E$5+B162^0*CURVAS!$F$5</f>
        <v>31.364000000000001</v>
      </c>
    </row>
    <row r="585" spans="1:4" ht="15.75" x14ac:dyDescent="0.25">
      <c r="A585" s="1">
        <v>20</v>
      </c>
      <c r="B585" s="1">
        <v>201</v>
      </c>
      <c r="C585" s="1">
        <v>31.7</v>
      </c>
      <c r="D585" s="3">
        <f>B163^4*CURVAS!$B$5+B163^3*CURVAS!$C$5+B163^2*CURVAS!$D$5+B163^1*CURVAS!$E$5+B163^0*CURVAS!$F$5</f>
        <v>31.721618720899997</v>
      </c>
    </row>
    <row r="586" spans="1:4" ht="15.75" x14ac:dyDescent="0.25">
      <c r="A586" s="1">
        <v>20</v>
      </c>
      <c r="B586" s="1">
        <v>202</v>
      </c>
      <c r="C586" s="1">
        <v>31.9</v>
      </c>
      <c r="D586" s="3">
        <f>B164^4*CURVAS!$B$5+B164^3*CURVAS!$C$5+B164^2*CURVAS!$D$5+B164^1*CURVAS!$E$5+B164^0*CURVAS!$F$5</f>
        <v>32.082285774399999</v>
      </c>
    </row>
    <row r="587" spans="1:4" ht="15.75" x14ac:dyDescent="0.25">
      <c r="A587" s="1">
        <v>20</v>
      </c>
      <c r="B587" s="1">
        <v>203</v>
      </c>
      <c r="C587" s="1">
        <v>32</v>
      </c>
      <c r="D587" s="3">
        <f>B165^4*CURVAS!$B$5+B165^3*CURVAS!$C$5+B165^2*CURVAS!$D$5+B165^1*CURVAS!$E$5+B165^0*CURVAS!$F$5</f>
        <v>32.446017512899999</v>
      </c>
    </row>
    <row r="588" spans="1:4" ht="15.75" x14ac:dyDescent="0.25">
      <c r="A588" s="1">
        <v>20</v>
      </c>
      <c r="B588" s="1">
        <v>204</v>
      </c>
      <c r="C588" s="1">
        <v>32.9</v>
      </c>
      <c r="D588" s="3">
        <f>B166^4*CURVAS!$B$5+B166^3*CURVAS!$C$5+B166^2*CURVAS!$D$5+B166^1*CURVAS!$E$5+B166^0*CURVAS!$F$5</f>
        <v>32.812830310400003</v>
      </c>
    </row>
    <row r="589" spans="1:4" ht="15.75" x14ac:dyDescent="0.25">
      <c r="A589" s="1">
        <v>20</v>
      </c>
      <c r="B589" s="1">
        <v>205</v>
      </c>
      <c r="C589" s="1">
        <v>33.1</v>
      </c>
      <c r="D589" s="3">
        <f>B167^4*CURVAS!$B$5+B167^3*CURVAS!$C$5+B167^2*CURVAS!$D$5+B167^1*CURVAS!$E$5+B167^0*CURVAS!$F$5</f>
        <v>33.182740562500001</v>
      </c>
    </row>
    <row r="590" spans="1:4" ht="15.75" x14ac:dyDescent="0.25">
      <c r="A590" s="1">
        <v>20</v>
      </c>
      <c r="B590" s="1">
        <v>206</v>
      </c>
      <c r="C590" s="1">
        <v>33.200000000000003</v>
      </c>
      <c r="D590" s="3">
        <f>B168^4*CURVAS!$B$5+B168^3*CURVAS!$C$5+B168^2*CURVAS!$D$5+B168^1*CURVAS!$E$5+B168^0*CURVAS!$F$5</f>
        <v>33.555764686399996</v>
      </c>
    </row>
    <row r="591" spans="1:4" ht="15.75" x14ac:dyDescent="0.25">
      <c r="A591" s="1">
        <v>20</v>
      </c>
      <c r="B591" s="1">
        <v>207</v>
      </c>
      <c r="C591" s="1">
        <v>33.5</v>
      </c>
      <c r="D591" s="3">
        <f>B169^4*CURVAS!$B$5+B169^3*CURVAS!$C$5+B169^2*CURVAS!$D$5+B169^1*CURVAS!$E$5+B169^0*CURVAS!$F$5</f>
        <v>33.931919120899998</v>
      </c>
    </row>
    <row r="592" spans="1:4" ht="15.75" x14ac:dyDescent="0.25">
      <c r="A592" s="1">
        <v>20</v>
      </c>
      <c r="B592" s="1">
        <v>208</v>
      </c>
      <c r="C592" s="1">
        <v>34.4</v>
      </c>
      <c r="D592" s="3">
        <f>B170^4*CURVAS!$B$5+B170^3*CURVAS!$C$5+B170^2*CURVAS!$D$5+B170^1*CURVAS!$E$5+B170^0*CURVAS!$F$5</f>
        <v>34.311220326399997</v>
      </c>
    </row>
    <row r="593" spans="1:4" ht="15.75" x14ac:dyDescent="0.25">
      <c r="A593" s="1">
        <v>20</v>
      </c>
      <c r="B593" s="1">
        <v>209</v>
      </c>
      <c r="C593" s="1">
        <v>34.6</v>
      </c>
      <c r="D593" s="3">
        <f>B171^4*CURVAS!$B$5+B171^3*CURVAS!$C$5+B171^2*CURVAS!$D$5+B171^1*CURVAS!$E$5+B171^0*CURVAS!$F$5</f>
        <v>34.6936847849</v>
      </c>
    </row>
    <row r="594" spans="1:4" ht="15.75" x14ac:dyDescent="0.25">
      <c r="A594" s="1">
        <v>20</v>
      </c>
      <c r="B594" s="1">
        <v>210</v>
      </c>
      <c r="C594" s="1">
        <v>34.799999999999997</v>
      </c>
      <c r="D594" s="3">
        <f>B172^4*CURVAS!$B$5+B172^3*CURVAS!$C$5+B172^2*CURVAS!$D$5+B172^1*CURVAS!$E$5+B172^0*CURVAS!$F$5</f>
        <v>35.079329000000001</v>
      </c>
    </row>
    <row r="595" spans="1:4" ht="15.75" x14ac:dyDescent="0.25">
      <c r="A595" s="1">
        <v>20</v>
      </c>
      <c r="B595" s="1">
        <v>211</v>
      </c>
      <c r="C595" s="1">
        <v>35</v>
      </c>
      <c r="D595" s="3">
        <f>B173^4*CURVAS!$B$5+B173^3*CURVAS!$C$5+B173^2*CURVAS!$D$5+B173^1*CURVAS!$E$5+B173^0*CURVAS!$F$5</f>
        <v>35.468169496900003</v>
      </c>
    </row>
    <row r="596" spans="1:4" ht="15.75" x14ac:dyDescent="0.25">
      <c r="A596" s="1">
        <v>20</v>
      </c>
      <c r="B596" s="1">
        <v>212</v>
      </c>
      <c r="C596" s="1">
        <v>35.9</v>
      </c>
      <c r="D596" s="3">
        <f>B174^4*CURVAS!$B$5+B174^3*CURVAS!$C$5+B174^2*CURVAS!$D$5+B174^1*CURVAS!$E$5+B174^0*CURVAS!$F$5</f>
        <v>35.860222822399997</v>
      </c>
    </row>
    <row r="597" spans="1:4" ht="15.75" x14ac:dyDescent="0.25">
      <c r="A597" s="1">
        <v>20</v>
      </c>
      <c r="B597" s="1">
        <v>213</v>
      </c>
      <c r="C597" s="1">
        <v>36.200000000000003</v>
      </c>
      <c r="D597" s="3">
        <f>B175^4*CURVAS!$B$5+B175^3*CURVAS!$C$5+B175^2*CURVAS!$D$5+B175^1*CURVAS!$E$5+B175^0*CURVAS!$F$5</f>
        <v>36.255505544899997</v>
      </c>
    </row>
    <row r="598" spans="1:4" ht="15.75" x14ac:dyDescent="0.25">
      <c r="A598" s="1">
        <v>20</v>
      </c>
      <c r="B598" s="1">
        <v>214</v>
      </c>
      <c r="C598" s="1">
        <v>36.4</v>
      </c>
      <c r="D598" s="3">
        <f>B176^4*CURVAS!$B$5+B176^3*CURVAS!$C$5+B176^2*CURVAS!$D$5+B176^1*CURVAS!$E$5+B176^0*CURVAS!$F$5</f>
        <v>36.654034254399996</v>
      </c>
    </row>
    <row r="599" spans="1:4" ht="15.75" x14ac:dyDescent="0.25">
      <c r="A599" s="1">
        <v>20</v>
      </c>
      <c r="B599" s="1">
        <v>215</v>
      </c>
      <c r="C599" s="1">
        <v>36.5</v>
      </c>
      <c r="D599" s="3">
        <f>B177^4*CURVAS!$B$5+B177^3*CURVAS!$C$5+B177^2*CURVAS!$D$5+B177^1*CURVAS!$E$5+B177^0*CURVAS!$F$5</f>
        <v>37.055825562499997</v>
      </c>
    </row>
    <row r="600" spans="1:4" ht="15.75" x14ac:dyDescent="0.25">
      <c r="A600" s="1">
        <v>20</v>
      </c>
      <c r="B600" s="1">
        <v>216</v>
      </c>
      <c r="C600" s="1">
        <v>37.5</v>
      </c>
      <c r="D600" s="3">
        <f>B178^4*CURVAS!$B$5+B178^3*CURVAS!$C$5+B178^2*CURVAS!$D$5+B178^1*CURVAS!$E$5+B178^0*CURVAS!$F$5</f>
        <v>37.4608961024</v>
      </c>
    </row>
    <row r="601" spans="1:4" ht="15.75" x14ac:dyDescent="0.25">
      <c r="A601" s="1">
        <v>20</v>
      </c>
      <c r="B601" s="1">
        <v>217</v>
      </c>
      <c r="C601" s="1">
        <v>37.700000000000003</v>
      </c>
      <c r="D601" s="3">
        <f>B179^4*CURVAS!$B$5+B179^3*CURVAS!$C$5+B179^2*CURVAS!$D$5+B179^1*CURVAS!$E$5+B179^0*CURVAS!$F$5</f>
        <v>37.869262528900002</v>
      </c>
    </row>
    <row r="602" spans="1:4" ht="15.75" x14ac:dyDescent="0.25">
      <c r="A602" s="1">
        <v>20</v>
      </c>
      <c r="B602" s="1">
        <v>218</v>
      </c>
      <c r="C602" s="1">
        <v>37.9</v>
      </c>
      <c r="D602" s="3">
        <f>B180^4*CURVAS!$B$5+B180^3*CURVAS!$C$5+B180^2*CURVAS!$D$5+B180^1*CURVAS!$E$5+B180^0*CURVAS!$F$5</f>
        <v>38.280941518399999</v>
      </c>
    </row>
    <row r="603" spans="1:4" ht="15.75" x14ac:dyDescent="0.25">
      <c r="A603" s="1">
        <v>20</v>
      </c>
      <c r="B603" s="1">
        <v>219</v>
      </c>
      <c r="C603" s="1">
        <v>38.1</v>
      </c>
      <c r="D603" s="3">
        <f>B181^4*CURVAS!$B$5+B181^3*CURVAS!$C$5+B181^2*CURVAS!$D$5+B181^1*CURVAS!$E$5+B181^0*CURVAS!$F$5</f>
        <v>38.6959497689</v>
      </c>
    </row>
    <row r="604" spans="1:4" ht="15.75" x14ac:dyDescent="0.25">
      <c r="A604" s="1">
        <v>20</v>
      </c>
      <c r="B604" s="1">
        <v>220</v>
      </c>
      <c r="C604" s="1">
        <v>39.200000000000003</v>
      </c>
      <c r="D604" s="3">
        <f>B182^4*CURVAS!$B$5+B182^3*CURVAS!$C$5+B182^2*CURVAS!$D$5+B182^1*CURVAS!$E$5+B182^0*CURVAS!$F$5</f>
        <v>39.114303999999997</v>
      </c>
    </row>
    <row r="605" spans="1:4" ht="15.75" x14ac:dyDescent="0.25">
      <c r="A605" s="1">
        <v>20</v>
      </c>
      <c r="B605" s="1">
        <v>221</v>
      </c>
      <c r="C605" s="1">
        <v>39.4</v>
      </c>
      <c r="D605" s="3">
        <f>B183^4*CURVAS!$B$5+B183^3*CURVAS!$C$5+B183^2*CURVAS!$D$5+B183^1*CURVAS!$E$5+B183^0*CURVAS!$F$5</f>
        <v>39.536020952899996</v>
      </c>
    </row>
    <row r="606" spans="1:4" ht="15.75" x14ac:dyDescent="0.25">
      <c r="A606" s="1">
        <v>20</v>
      </c>
      <c r="B606" s="1">
        <v>222</v>
      </c>
      <c r="C606" s="1">
        <v>39.700000000000003</v>
      </c>
      <c r="D606" s="3">
        <f>B184^4*CURVAS!$B$5+B184^3*CURVAS!$C$5+B184^2*CURVAS!$D$5+B184^1*CURVAS!$E$5+B184^0*CURVAS!$F$5</f>
        <v>39.961117390399998</v>
      </c>
    </row>
    <row r="607" spans="1:4" ht="15.75" x14ac:dyDescent="0.25">
      <c r="A607" s="1">
        <v>20</v>
      </c>
      <c r="B607" s="1">
        <v>223</v>
      </c>
      <c r="C607" s="1">
        <v>39.799999999999997</v>
      </c>
      <c r="D607" s="3">
        <f>B185^4*CURVAS!$B$5+B185^3*CURVAS!$C$5+B185^2*CURVAS!$D$5+B185^1*CURVAS!$E$5+B185^0*CURVAS!$F$5</f>
        <v>40.389610096899993</v>
      </c>
    </row>
    <row r="608" spans="1:4" ht="15.75" x14ac:dyDescent="0.25">
      <c r="A608" s="1">
        <v>20</v>
      </c>
      <c r="B608" s="1">
        <v>224</v>
      </c>
      <c r="C608" s="1">
        <v>41</v>
      </c>
      <c r="D608" s="3">
        <f>B186^4*CURVAS!$B$5+B186^3*CURVAS!$C$5+B186^2*CURVAS!$D$5+B186^1*CURVAS!$E$5+B186^0*CURVAS!$F$5</f>
        <v>40.8215158784</v>
      </c>
    </row>
    <row r="609" spans="1:4" ht="15.75" x14ac:dyDescent="0.25">
      <c r="A609" s="1">
        <v>20</v>
      </c>
      <c r="B609" s="1">
        <v>225</v>
      </c>
      <c r="C609" s="1">
        <v>41.3</v>
      </c>
      <c r="D609" s="3">
        <f>B187^4*CURVAS!$B$5+B187^3*CURVAS!$C$5+B187^2*CURVAS!$D$5+B187^1*CURVAS!$E$5+B187^0*CURVAS!$F$5</f>
        <v>41.256851562499996</v>
      </c>
    </row>
    <row r="610" spans="1:4" ht="15.75" x14ac:dyDescent="0.25">
      <c r="A610" s="1">
        <v>20</v>
      </c>
      <c r="B610" s="1">
        <v>226</v>
      </c>
      <c r="C610" s="1">
        <v>41.4</v>
      </c>
      <c r="D610" s="3">
        <f>B188^4*CURVAS!$B$5+B188^3*CURVAS!$C$5+B188^2*CURVAS!$D$5+B188^1*CURVAS!$E$5+B188^0*CURVAS!$F$5</f>
        <v>41.695633998399998</v>
      </c>
    </row>
    <row r="611" spans="1:4" ht="15.75" x14ac:dyDescent="0.25">
      <c r="A611" s="1">
        <v>20</v>
      </c>
      <c r="B611" s="1">
        <v>227</v>
      </c>
      <c r="C611" s="1">
        <v>41.6</v>
      </c>
      <c r="D611" s="3">
        <f>B189^4*CURVAS!$B$5+B189^3*CURVAS!$C$5+B189^2*CURVAS!$D$5+B189^1*CURVAS!$E$5+B189^0*CURVAS!$F$5</f>
        <v>42.137880056899995</v>
      </c>
    </row>
    <row r="612" spans="1:4" ht="15.75" x14ac:dyDescent="0.25">
      <c r="A612" s="1">
        <v>20</v>
      </c>
      <c r="B612" s="1">
        <v>228</v>
      </c>
      <c r="C612" s="1">
        <v>42.6</v>
      </c>
      <c r="D612" s="3">
        <f>B190^4*CURVAS!$B$5+B190^3*CURVAS!$C$5+B190^2*CURVAS!$D$5+B190^1*CURVAS!$E$5+B190^0*CURVAS!$F$5</f>
        <v>42.583606630399998</v>
      </c>
    </row>
    <row r="613" spans="1:4" ht="15.75" x14ac:dyDescent="0.25">
      <c r="A613" s="1">
        <v>20</v>
      </c>
      <c r="B613" s="1">
        <v>229</v>
      </c>
      <c r="C613" s="1">
        <v>42.9</v>
      </c>
      <c r="D613" s="3">
        <f>B191^4*CURVAS!$B$5+B191^3*CURVAS!$C$5+B191^2*CURVAS!$D$5+B191^1*CURVAS!$E$5+B191^0*CURVAS!$F$5</f>
        <v>43.032830632899994</v>
      </c>
    </row>
    <row r="614" spans="1:4" ht="15.75" x14ac:dyDescent="0.25">
      <c r="A614" s="1">
        <v>20</v>
      </c>
      <c r="B614" s="1">
        <v>230</v>
      </c>
      <c r="C614" s="1">
        <v>43.1</v>
      </c>
      <c r="D614" s="3">
        <f>B192^4*CURVAS!$B$5+B192^3*CURVAS!$C$5+B192^2*CURVAS!$D$5+B192^1*CURVAS!$E$5+B192^0*CURVAS!$F$5</f>
        <v>43.485568999999998</v>
      </c>
    </row>
    <row r="615" spans="1:4" ht="15.75" x14ac:dyDescent="0.25">
      <c r="A615" s="1">
        <v>20</v>
      </c>
      <c r="B615" s="1">
        <v>231</v>
      </c>
      <c r="C615" s="1">
        <v>43.3</v>
      </c>
      <c r="D615" s="3">
        <f>B193^4*CURVAS!$B$5+B193^3*CURVAS!$C$5+B193^2*CURVAS!$D$5+B193^1*CURVAS!$E$5+B193^0*CURVAS!$F$5</f>
        <v>43.941838688899992</v>
      </c>
    </row>
    <row r="616" spans="1:4" ht="15.75" x14ac:dyDescent="0.25">
      <c r="A616" s="1">
        <v>20</v>
      </c>
      <c r="B616" s="1">
        <v>232</v>
      </c>
      <c r="C616" s="1">
        <v>44.5</v>
      </c>
      <c r="D616" s="3">
        <f>B194^4*CURVAS!$B$5+B194^3*CURVAS!$C$5+B194^2*CURVAS!$D$5+B194^1*CURVAS!$E$5+B194^0*CURVAS!$F$5</f>
        <v>44.401656678400002</v>
      </c>
    </row>
    <row r="617" spans="1:4" ht="15.75" x14ac:dyDescent="0.25">
      <c r="A617" s="1">
        <v>20</v>
      </c>
      <c r="B617" s="1">
        <v>233</v>
      </c>
      <c r="C617" s="1">
        <v>44.7</v>
      </c>
      <c r="D617" s="3">
        <f>B195^4*CURVAS!$B$5+B195^3*CURVAS!$C$5+B195^2*CURVAS!$D$5+B195^1*CURVAS!$E$5+B195^0*CURVAS!$F$5</f>
        <v>44.865039968899993</v>
      </c>
    </row>
    <row r="618" spans="1:4" ht="15.75" x14ac:dyDescent="0.25">
      <c r="A618" s="1">
        <v>20</v>
      </c>
      <c r="B618" s="1">
        <v>234</v>
      </c>
      <c r="C618" s="1">
        <v>44.9</v>
      </c>
      <c r="D618" s="3">
        <f>B196^4*CURVAS!$B$5+B196^3*CURVAS!$C$5+B196^2*CURVAS!$D$5+B196^1*CURVAS!$E$5+B196^0*CURVAS!$F$5</f>
        <v>45.332005582400001</v>
      </c>
    </row>
    <row r="619" spans="1:4" ht="15.75" x14ac:dyDescent="0.25">
      <c r="A619" s="1">
        <v>20</v>
      </c>
      <c r="B619" s="1">
        <v>235</v>
      </c>
      <c r="C619" s="1">
        <v>45.1</v>
      </c>
      <c r="D619" s="3">
        <f>B197^4*CURVAS!$B$5+B197^3*CURVAS!$C$5+B197^2*CURVAS!$D$5+B197^1*CURVAS!$E$5+B197^0*CURVAS!$F$5</f>
        <v>45.802570562499994</v>
      </c>
    </row>
    <row r="620" spans="1:4" ht="15.75" x14ac:dyDescent="0.25">
      <c r="A620" s="1">
        <v>20</v>
      </c>
      <c r="B620" s="1">
        <v>236</v>
      </c>
      <c r="C620" s="1">
        <v>46.3</v>
      </c>
      <c r="D620" s="3">
        <f>B198^4*CURVAS!$B$5+B198^3*CURVAS!$C$5+B198^2*CURVAS!$D$5+B198^1*CURVAS!$E$5+B198^0*CURVAS!$F$5</f>
        <v>46.2767519744</v>
      </c>
    </row>
    <row r="621" spans="1:4" ht="15.75" x14ac:dyDescent="0.25">
      <c r="A621" s="1">
        <v>20</v>
      </c>
      <c r="B621" s="1">
        <v>237</v>
      </c>
      <c r="C621" s="1">
        <v>46.6</v>
      </c>
      <c r="D621" s="3">
        <f>B199^4*CURVAS!$B$5+B199^3*CURVAS!$C$5+B199^2*CURVAS!$D$5+B199^1*CURVAS!$E$5+B199^0*CURVAS!$F$5</f>
        <v>46.754566904900003</v>
      </c>
    </row>
    <row r="622" spans="1:4" ht="15.75" x14ac:dyDescent="0.25">
      <c r="A622" s="1">
        <v>20</v>
      </c>
      <c r="B622" s="1">
        <v>238</v>
      </c>
      <c r="C622" s="1">
        <v>46.9</v>
      </c>
      <c r="D622" s="3">
        <f>B200^4*CURVAS!$B$5+B200^3*CURVAS!$C$5+B200^2*CURVAS!$D$5+B200^1*CURVAS!$E$5+B200^0*CURVAS!$F$5</f>
        <v>47.236032462400004</v>
      </c>
    </row>
    <row r="623" spans="1:4" ht="15.75" x14ac:dyDescent="0.25">
      <c r="A623" s="1">
        <v>20</v>
      </c>
      <c r="B623" s="1">
        <v>239</v>
      </c>
      <c r="C623" s="1">
        <v>47.1</v>
      </c>
      <c r="D623" s="3">
        <f>B201^4*CURVAS!$B$5+B201^3*CURVAS!$C$5+B201^2*CURVAS!$D$5+B201^1*CURVAS!$E$5+B201^0*CURVAS!$F$5</f>
        <v>47.721165776899994</v>
      </c>
    </row>
    <row r="624" spans="1:4" ht="15.75" x14ac:dyDescent="0.25">
      <c r="A624" s="1">
        <v>20</v>
      </c>
      <c r="B624" s="1">
        <v>240</v>
      </c>
      <c r="C624" s="1">
        <v>48.3</v>
      </c>
      <c r="D624" s="3">
        <f>B202^4*CURVAS!$B$5+B202^3*CURVAS!$C$5+B202^2*CURVAS!$D$5+B202^1*CURVAS!$E$5+B202^0*CURVAS!$F$5</f>
        <v>48.209983999999992</v>
      </c>
    </row>
    <row r="625" spans="1:4" ht="15.75" x14ac:dyDescent="0.25">
      <c r="A625" s="1">
        <v>20</v>
      </c>
      <c r="B625" s="1">
        <v>241</v>
      </c>
      <c r="C625" s="1">
        <v>48.5</v>
      </c>
      <c r="D625" s="3">
        <f>B203^4*CURVAS!$B$5+B203^3*CURVAS!$C$5+B203^2*CURVAS!$D$5+B203^1*CURVAS!$E$5+B203^0*CURVAS!$F$5</f>
        <v>48.702504304900003</v>
      </c>
    </row>
    <row r="626" spans="1:4" ht="15.75" x14ac:dyDescent="0.25">
      <c r="A626" s="1">
        <v>20</v>
      </c>
      <c r="B626" s="1">
        <v>242</v>
      </c>
      <c r="C626" s="1">
        <v>48.7</v>
      </c>
      <c r="D626" s="3">
        <f>B204^4*CURVAS!$B$5+B204^3*CURVAS!$C$5+B204^2*CURVAS!$D$5+B204^1*CURVAS!$E$5+B204^0*CURVAS!$F$5</f>
        <v>49.198743886399996</v>
      </c>
    </row>
    <row r="627" spans="1:4" ht="15.75" x14ac:dyDescent="0.25">
      <c r="A627" s="1">
        <v>20</v>
      </c>
      <c r="B627" s="1">
        <v>243</v>
      </c>
      <c r="C627" s="1">
        <v>49</v>
      </c>
      <c r="D627" s="3">
        <f>B205^4*CURVAS!$B$5+B205^3*CURVAS!$C$5+B205^2*CURVAS!$D$5+B205^1*CURVAS!$E$5+B205^0*CURVAS!$F$5</f>
        <v>49.698719960899993</v>
      </c>
    </row>
    <row r="628" spans="1:4" ht="15.75" x14ac:dyDescent="0.25">
      <c r="A628" s="1">
        <v>20</v>
      </c>
      <c r="B628" s="1">
        <v>244</v>
      </c>
      <c r="C628" s="1">
        <v>50.2</v>
      </c>
      <c r="D628" s="3">
        <f>B206^4*CURVAS!$B$5+B206^3*CURVAS!$C$5+B206^2*CURVAS!$D$5+B206^1*CURVAS!$E$5+B206^0*CURVAS!$F$5</f>
        <v>50.202449766399994</v>
      </c>
    </row>
    <row r="629" spans="1:4" ht="15.75" x14ac:dyDescent="0.25">
      <c r="A629" s="1">
        <v>20</v>
      </c>
      <c r="B629" s="1">
        <v>245</v>
      </c>
      <c r="C629" s="1">
        <v>50.6</v>
      </c>
      <c r="D629" s="3">
        <f>B207^4*CURVAS!$B$5+B207^3*CURVAS!$C$5+B207^2*CURVAS!$D$5+B207^1*CURVAS!$E$5+B207^0*CURVAS!$F$5</f>
        <v>50.709950562499998</v>
      </c>
    </row>
    <row r="630" spans="1:4" ht="15.75" x14ac:dyDescent="0.25">
      <c r="A630" s="1">
        <v>20</v>
      </c>
      <c r="B630" s="1">
        <v>246</v>
      </c>
      <c r="C630" s="1">
        <v>51</v>
      </c>
      <c r="D630" s="3">
        <f>B208^4*CURVAS!$B$5+B208^3*CURVAS!$C$5+B208^2*CURVAS!$D$5+B208^1*CURVAS!$E$5+B208^0*CURVAS!$F$5</f>
        <v>51.221239630399992</v>
      </c>
    </row>
    <row r="631" spans="1:4" ht="15.75" x14ac:dyDescent="0.25">
      <c r="A631" s="1">
        <v>20</v>
      </c>
      <c r="B631" s="1">
        <v>247</v>
      </c>
      <c r="C631" s="1">
        <v>51.6</v>
      </c>
      <c r="D631" s="3">
        <f>B209^4*CURVAS!$B$5+B209^3*CURVAS!$C$5+B209^2*CURVAS!$D$5+B209^1*CURVAS!$E$5+B209^0*CURVAS!$F$5</f>
        <v>51.736334272899995</v>
      </c>
    </row>
    <row r="632" spans="1:4" ht="15.75" x14ac:dyDescent="0.25">
      <c r="A632" s="1">
        <v>20</v>
      </c>
      <c r="B632" s="1">
        <v>248</v>
      </c>
      <c r="C632" s="1">
        <v>52</v>
      </c>
      <c r="D632" s="3">
        <f>B210^4*CURVAS!$B$5+B210^3*CURVAS!$C$5+B210^2*CURVAS!$D$5+B210^1*CURVAS!$E$5+B210^0*CURVAS!$F$5</f>
        <v>52.255251814399998</v>
      </c>
    </row>
    <row r="633" spans="1:4" ht="15.75" x14ac:dyDescent="0.25">
      <c r="A633" s="1">
        <v>20</v>
      </c>
      <c r="B633" s="1">
        <v>249</v>
      </c>
      <c r="C633" s="1">
        <v>52.6</v>
      </c>
      <c r="D633" s="3">
        <f>B211^4*CURVAS!$B$5+B211^3*CURVAS!$C$5+B211^2*CURVAS!$D$5+B211^1*CURVAS!$E$5+B211^0*CURVAS!$F$5</f>
        <v>52.778009600899999</v>
      </c>
    </row>
    <row r="634" spans="1:4" ht="15.75" x14ac:dyDescent="0.25">
      <c r="A634" s="1">
        <v>20</v>
      </c>
      <c r="B634" s="1">
        <v>250</v>
      </c>
      <c r="C634" s="1">
        <v>52.9</v>
      </c>
      <c r="D634" s="3">
        <f>B212^4*CURVAS!$B$5+B212^3*CURVAS!$C$5+B212^2*CURVAS!$D$5+B212^1*CURVAS!$E$5+B212^0*CURVAS!$F$5</f>
        <v>53.304625000000001</v>
      </c>
    </row>
    <row r="635" spans="1:4" ht="15.75" x14ac:dyDescent="0.25">
      <c r="A635" s="21">
        <v>21</v>
      </c>
      <c r="B635" s="1">
        <v>40</v>
      </c>
      <c r="C635" s="3">
        <f t="shared" ref="C635:C698" si="1">C424*(C213/C2+C424/C213)/2</f>
        <v>1.9142199999999998</v>
      </c>
      <c r="D635" s="3">
        <f>B2^4*CURVAS!$B$6+B2^3*CURVAS!$C$6+B2^2*CURVAS!$D$6+B2^1*CURVAS!$E$6+B2^0*CURVAS!$F$6</f>
        <v>2.0197799999999999</v>
      </c>
    </row>
    <row r="636" spans="1:4" ht="15.75" x14ac:dyDescent="0.25">
      <c r="A636" s="21">
        <v>21</v>
      </c>
      <c r="B636" s="1">
        <v>41</v>
      </c>
      <c r="C636" s="3">
        <f t="shared" si="1"/>
        <v>1.9159304347826085</v>
      </c>
      <c r="D636" s="3">
        <f>B3^4*CURVAS!$B$6+B3^3*CURVAS!$C$6+B3^2*CURVAS!$D$6+B3^1*CURVAS!$E$6+B3^0*CURVAS!$F$6</f>
        <v>2.0760648804999997</v>
      </c>
    </row>
    <row r="637" spans="1:4" ht="15.75" x14ac:dyDescent="0.25">
      <c r="A637" s="21">
        <v>21</v>
      </c>
      <c r="B637" s="1">
        <v>42</v>
      </c>
      <c r="C637" s="3">
        <f t="shared" si="1"/>
        <v>1.9333448164146867</v>
      </c>
      <c r="D637" s="3">
        <f>B4^4*CURVAS!$B$6+B4^3*CURVAS!$C$6+B4^2*CURVAS!$D$6+B4^1*CURVAS!$E$6+B4^0*CURVAS!$F$6</f>
        <v>2.1328718480000002</v>
      </c>
    </row>
    <row r="638" spans="1:4" ht="15.75" x14ac:dyDescent="0.25">
      <c r="A638" s="21">
        <v>21</v>
      </c>
      <c r="B638" s="1">
        <v>43</v>
      </c>
      <c r="C638" s="3">
        <f t="shared" si="1"/>
        <v>1.9565726980728049</v>
      </c>
      <c r="D638" s="3">
        <f>B5^4*CURVAS!$B$6+B5^3*CURVAS!$C$6+B5^2*CURVAS!$D$6+B5^1*CURVAS!$E$6+B5^0*CURVAS!$F$6</f>
        <v>2.1902134004999998</v>
      </c>
    </row>
    <row r="639" spans="1:4" ht="15.75" x14ac:dyDescent="0.25">
      <c r="A639" s="21">
        <v>21</v>
      </c>
      <c r="B639" s="1">
        <v>44</v>
      </c>
      <c r="C639" s="3">
        <f t="shared" si="1"/>
        <v>2.0584636782786885</v>
      </c>
      <c r="D639" s="3">
        <f>B6^4*CURVAS!$B$6+B6^3*CURVAS!$C$6+B6^2*CURVAS!$D$6+B6^1*CURVAS!$E$6+B6^0*CURVAS!$F$6</f>
        <v>2.2481020479999998</v>
      </c>
    </row>
    <row r="640" spans="1:4" ht="15.75" x14ac:dyDescent="0.25">
      <c r="A640" s="21">
        <v>21</v>
      </c>
      <c r="B640" s="1">
        <v>45</v>
      </c>
      <c r="C640" s="3">
        <f t="shared" si="1"/>
        <v>2.0776839430894309</v>
      </c>
      <c r="D640" s="3">
        <f>B7^4*CURVAS!$B$6+B7^3*CURVAS!$C$6+B7^2*CURVAS!$D$6+B7^1*CURVAS!$E$6+B7^0*CURVAS!$F$6</f>
        <v>2.3065503124999998</v>
      </c>
    </row>
    <row r="641" spans="1:4" ht="15.75" x14ac:dyDescent="0.25">
      <c r="A641" s="21">
        <v>21</v>
      </c>
      <c r="B641" s="1">
        <v>46</v>
      </c>
      <c r="C641" s="3">
        <f t="shared" si="1"/>
        <v>2.5104737903225804</v>
      </c>
      <c r="D641" s="3">
        <f>B8^4*CURVAS!$B$6+B8^3*CURVAS!$C$6+B8^2*CURVAS!$D$6+B8^1*CURVAS!$E$6+B8^0*CURVAS!$F$6</f>
        <v>2.3655707279999998</v>
      </c>
    </row>
    <row r="642" spans="1:4" ht="15.75" x14ac:dyDescent="0.25">
      <c r="A642" s="21">
        <v>21</v>
      </c>
      <c r="B642" s="1">
        <v>47</v>
      </c>
      <c r="C642" s="3">
        <f t="shared" si="1"/>
        <v>2.5361211940298509</v>
      </c>
      <c r="D642" s="3">
        <f>B9^4*CURVAS!$B$6+B9^3*CURVAS!$C$6+B9^2*CURVAS!$D$6+B9^1*CURVAS!$E$6+B9^0*CURVAS!$F$6</f>
        <v>2.4251758405000001</v>
      </c>
    </row>
    <row r="643" spans="1:4" ht="15.75" x14ac:dyDescent="0.25">
      <c r="A643" s="21">
        <v>21</v>
      </c>
      <c r="B643" s="1">
        <v>48</v>
      </c>
      <c r="C643" s="3">
        <f t="shared" si="1"/>
        <v>2.6785508993494069</v>
      </c>
      <c r="D643" s="3">
        <f>B10^4*CURVAS!$B$6+B10^3*CURVAS!$C$6+B10^2*CURVAS!$D$6+B10^1*CURVAS!$E$6+B10^0*CURVAS!$F$6</f>
        <v>2.4853782080000002</v>
      </c>
    </row>
    <row r="644" spans="1:4" ht="15.75" x14ac:dyDescent="0.25">
      <c r="A644" s="21">
        <v>21</v>
      </c>
      <c r="B644" s="1">
        <v>49</v>
      </c>
      <c r="C644" s="3">
        <f t="shared" si="1"/>
        <v>2.7112004716981133</v>
      </c>
      <c r="D644" s="3">
        <f>B11^4*CURVAS!$B$6+B11^3*CURVAS!$C$6+B11^2*CURVAS!$D$6+B11^1*CURVAS!$E$6+B11^0*CURVAS!$F$6</f>
        <v>2.5461904004999996</v>
      </c>
    </row>
    <row r="645" spans="1:4" ht="15.75" x14ac:dyDescent="0.25">
      <c r="A645" s="21">
        <v>21</v>
      </c>
      <c r="B645" s="1">
        <v>50</v>
      </c>
      <c r="C645" s="3">
        <f t="shared" si="1"/>
        <v>2.7464228428602482</v>
      </c>
      <c r="D645" s="3">
        <f>B12^4*CURVAS!$B$6+B12^3*CURVAS!$C$6+B12^2*CURVAS!$D$6+B12^1*CURVAS!$E$6+B12^0*CURVAS!$F$6</f>
        <v>2.6076250000000001</v>
      </c>
    </row>
    <row r="646" spans="1:4" ht="15.75" x14ac:dyDescent="0.25">
      <c r="A646" s="21">
        <v>21</v>
      </c>
      <c r="B646" s="1">
        <v>51</v>
      </c>
      <c r="C646" s="3">
        <f t="shared" si="1"/>
        <v>2.720554335986594</v>
      </c>
      <c r="D646" s="3">
        <f>B13^4*CURVAS!$B$6+B13^3*CURVAS!$C$6+B13^2*CURVAS!$D$6+B13^1*CURVAS!$E$6+B13^0*CURVAS!$F$6</f>
        <v>2.6696946004999997</v>
      </c>
    </row>
    <row r="647" spans="1:4" ht="15.75" x14ac:dyDescent="0.25">
      <c r="A647" s="21">
        <v>21</v>
      </c>
      <c r="B647" s="1">
        <v>52</v>
      </c>
      <c r="C647" s="3">
        <f t="shared" si="1"/>
        <v>2.9226709246817539</v>
      </c>
      <c r="D647" s="3">
        <f>B14^4*CURVAS!$B$6+B14^3*CURVAS!$C$6+B14^2*CURVAS!$D$6+B14^1*CURVAS!$E$6+B14^0*CURVAS!$F$6</f>
        <v>2.7324118080000002</v>
      </c>
    </row>
    <row r="648" spans="1:4" ht="15.75" x14ac:dyDescent="0.25">
      <c r="A648" s="21">
        <v>21</v>
      </c>
      <c r="B648" s="1">
        <v>53</v>
      </c>
      <c r="C648" s="3">
        <f t="shared" si="1"/>
        <v>2.9328855835240275</v>
      </c>
      <c r="D648" s="3">
        <f>B15^4*CURVAS!$B$6+B15^3*CURVAS!$C$6+B15^2*CURVAS!$D$6+B15^1*CURVAS!$E$6+B15^0*CURVAS!$F$6</f>
        <v>2.7957892404999996</v>
      </c>
    </row>
    <row r="649" spans="1:4" ht="15.75" x14ac:dyDescent="0.25">
      <c r="A649" s="21">
        <v>21</v>
      </c>
      <c r="B649" s="1">
        <v>54</v>
      </c>
      <c r="C649" s="3">
        <f t="shared" si="1"/>
        <v>2.943240131823937</v>
      </c>
      <c r="D649" s="3">
        <f>B16^4*CURVAS!$B$6+B16^3*CURVAS!$C$6+B16^2*CURVAS!$D$6+B16^1*CURVAS!$E$6+B16^0*CURVAS!$F$6</f>
        <v>2.8598395279999997</v>
      </c>
    </row>
    <row r="650" spans="1:4" ht="15.75" x14ac:dyDescent="0.25">
      <c r="A650" s="21">
        <v>21</v>
      </c>
      <c r="B650" s="1">
        <v>55</v>
      </c>
      <c r="C650" s="3">
        <f t="shared" si="1"/>
        <v>2.9657987696439592</v>
      </c>
      <c r="D650" s="3">
        <f>B17^4*CURVAS!$B$6+B17^3*CURVAS!$C$6+B17^2*CURVAS!$D$6+B17^1*CURVAS!$E$6+B17^0*CURVAS!$F$6</f>
        <v>2.9245753125</v>
      </c>
    </row>
    <row r="651" spans="1:4" ht="15.75" x14ac:dyDescent="0.25">
      <c r="A651" s="21">
        <v>21</v>
      </c>
      <c r="B651" s="1">
        <v>56</v>
      </c>
      <c r="C651" s="3">
        <f t="shared" si="1"/>
        <v>3.1625123975409837</v>
      </c>
      <c r="D651" s="3">
        <f>B18^4*CURVAS!$B$6+B18^3*CURVAS!$C$6+B18^2*CURVAS!$D$6+B18^1*CURVAS!$E$6+B18^0*CURVAS!$F$6</f>
        <v>2.9900092479999998</v>
      </c>
    </row>
    <row r="652" spans="1:4" ht="15.75" x14ac:dyDescent="0.25">
      <c r="A652" s="21">
        <v>21</v>
      </c>
      <c r="B652" s="1">
        <v>57</v>
      </c>
      <c r="C652" s="3">
        <f t="shared" si="1"/>
        <v>3.178579824415412</v>
      </c>
      <c r="D652" s="3">
        <f>B19^4*CURVAS!$B$6+B19^3*CURVAS!$C$6+B19^2*CURVAS!$D$6+B19^1*CURVAS!$E$6+B19^0*CURVAS!$F$6</f>
        <v>3.0561540005000003</v>
      </c>
    </row>
    <row r="653" spans="1:4" ht="15.75" x14ac:dyDescent="0.25">
      <c r="A653" s="21">
        <v>21</v>
      </c>
      <c r="B653" s="1">
        <v>58</v>
      </c>
      <c r="C653" s="3">
        <f t="shared" si="1"/>
        <v>3.2129032258064516</v>
      </c>
      <c r="D653" s="3">
        <f>B20^4*CURVAS!$B$6+B20^3*CURVAS!$C$6+B20^2*CURVAS!$D$6+B20^1*CURVAS!$E$6+B20^0*CURVAS!$F$6</f>
        <v>3.1230222479999998</v>
      </c>
    </row>
    <row r="654" spans="1:4" ht="15.75" x14ac:dyDescent="0.25">
      <c r="A654" s="21">
        <v>21</v>
      </c>
      <c r="B654" s="1">
        <v>59</v>
      </c>
      <c r="C654" s="3">
        <f t="shared" si="1"/>
        <v>3.2112780952380953</v>
      </c>
      <c r="D654" s="3">
        <f>B21^4*CURVAS!$B$6+B21^3*CURVAS!$C$6+B21^2*CURVAS!$D$6+B21^1*CURVAS!$E$6+B21^0*CURVAS!$F$6</f>
        <v>3.1906266804999999</v>
      </c>
    </row>
    <row r="655" spans="1:4" ht="15.75" x14ac:dyDescent="0.25">
      <c r="A655" s="21">
        <v>21</v>
      </c>
      <c r="B655" s="1">
        <v>60</v>
      </c>
      <c r="C655" s="3">
        <f t="shared" si="1"/>
        <v>3.4145528846153845</v>
      </c>
      <c r="D655" s="3">
        <f>B22^4*CURVAS!$B$6+B22^3*CURVAS!$C$6+B22^2*CURVAS!$D$6+B22^1*CURVAS!$E$6+B22^0*CURVAS!$F$6</f>
        <v>3.2589800000000002</v>
      </c>
    </row>
    <row r="656" spans="1:4" ht="15.75" x14ac:dyDescent="0.25">
      <c r="A656" s="21">
        <v>21</v>
      </c>
      <c r="B656" s="1">
        <v>61</v>
      </c>
      <c r="C656" s="3">
        <f t="shared" si="1"/>
        <v>3.4246153846153851</v>
      </c>
      <c r="D656" s="3">
        <f>B23^4*CURVAS!$B$6+B23^3*CURVAS!$C$6+B23^2*CURVAS!$D$6+B23^1*CURVAS!$E$6+B23^0*CURVAS!$F$6</f>
        <v>3.3280949204999999</v>
      </c>
    </row>
    <row r="657" spans="1:4" ht="15.75" x14ac:dyDescent="0.25">
      <c r="A657" s="21">
        <v>21</v>
      </c>
      <c r="B657" s="1">
        <v>62</v>
      </c>
      <c r="C657" s="3">
        <f t="shared" si="1"/>
        <v>3.485235849056604</v>
      </c>
      <c r="D657" s="3">
        <f>B24^4*CURVAS!$B$6+B24^3*CURVAS!$C$6+B24^2*CURVAS!$D$6+B24^1*CURVAS!$E$6+B24^0*CURVAS!$F$6</f>
        <v>3.3979841679999998</v>
      </c>
    </row>
    <row r="658" spans="1:4" ht="15.75" x14ac:dyDescent="0.25">
      <c r="A658" s="21">
        <v>21</v>
      </c>
      <c r="B658" s="1">
        <v>63</v>
      </c>
      <c r="C658" s="3">
        <f t="shared" si="1"/>
        <v>3.5195191538021731</v>
      </c>
      <c r="D658" s="3">
        <f>B25^4*CURVAS!$B$6+B25^3*CURVAS!$C$6+B25^2*CURVAS!$D$6+B25^1*CURVAS!$E$6+B25^0*CURVAS!$F$6</f>
        <v>3.4686604804999996</v>
      </c>
    </row>
    <row r="659" spans="1:4" ht="15.75" x14ac:dyDescent="0.25">
      <c r="A659" s="21">
        <v>21</v>
      </c>
      <c r="B659" s="1">
        <v>64</v>
      </c>
      <c r="C659" s="3">
        <f t="shared" si="1"/>
        <v>3.7158478203781509</v>
      </c>
      <c r="D659" s="3">
        <f>B26^4*CURVAS!$B$6+B26^3*CURVAS!$C$6+B26^2*CURVAS!$D$6+B26^1*CURVAS!$E$6+B26^0*CURVAS!$F$6</f>
        <v>3.5401366080000001</v>
      </c>
    </row>
    <row r="660" spans="1:4" ht="15.75" x14ac:dyDescent="0.25">
      <c r="A660" s="21">
        <v>21</v>
      </c>
      <c r="B660" s="1">
        <v>65</v>
      </c>
      <c r="C660" s="3">
        <f t="shared" si="1"/>
        <v>3.75595238095238</v>
      </c>
      <c r="D660" s="3">
        <f>B27^4*CURVAS!$B$6+B27^3*CURVAS!$C$6+B27^2*CURVAS!$D$6+B27^1*CURVAS!$E$6+B27^0*CURVAS!$F$6</f>
        <v>3.6124253125000001</v>
      </c>
    </row>
    <row r="661" spans="1:4" ht="15.75" x14ac:dyDescent="0.25">
      <c r="A661" s="21">
        <v>21</v>
      </c>
      <c r="B661" s="1">
        <v>66</v>
      </c>
      <c r="C661" s="3">
        <f t="shared" si="1"/>
        <v>3.7655012531328316</v>
      </c>
      <c r="D661" s="3">
        <f>B28^4*CURVAS!$B$6+B28^3*CURVAS!$C$6+B28^2*CURVAS!$D$6+B28^1*CURVAS!$E$6+B28^0*CURVAS!$F$6</f>
        <v>3.6855393680000001</v>
      </c>
    </row>
    <row r="662" spans="1:4" ht="15.75" x14ac:dyDescent="0.25">
      <c r="A662" s="21">
        <v>21</v>
      </c>
      <c r="B662" s="1">
        <v>67</v>
      </c>
      <c r="C662" s="3">
        <f t="shared" si="1"/>
        <v>3.8144185463659146</v>
      </c>
      <c r="D662" s="3">
        <f>B29^4*CURVAS!$B$6+B29^3*CURVAS!$C$6+B29^2*CURVAS!$D$6+B29^1*CURVAS!$E$6+B29^0*CURVAS!$F$6</f>
        <v>3.7594915604999999</v>
      </c>
    </row>
    <row r="663" spans="1:4" ht="15.75" x14ac:dyDescent="0.25">
      <c r="A663" s="21">
        <v>21</v>
      </c>
      <c r="B663" s="1">
        <v>68</v>
      </c>
      <c r="C663" s="3">
        <f t="shared" si="1"/>
        <v>3.990012785388128</v>
      </c>
      <c r="D663" s="3">
        <f>B30^4*CURVAS!$B$6+B30^3*CURVAS!$C$6+B30^2*CURVAS!$D$6+B30^1*CURVAS!$E$6+B30^0*CURVAS!$F$6</f>
        <v>3.834294688</v>
      </c>
    </row>
    <row r="664" spans="1:4" ht="15.75" x14ac:dyDescent="0.25">
      <c r="A664" s="21">
        <v>21</v>
      </c>
      <c r="B664" s="1">
        <v>69</v>
      </c>
      <c r="C664" s="3">
        <f t="shared" si="1"/>
        <v>4.0180646322552054</v>
      </c>
      <c r="D664" s="3">
        <f>B31^4*CURVAS!$B$6+B31^3*CURVAS!$C$6+B31^2*CURVAS!$D$6+B31^1*CURVAS!$E$6+B31^0*CURVAS!$F$6</f>
        <v>3.9099615605000002</v>
      </c>
    </row>
    <row r="665" spans="1:4" ht="15.75" x14ac:dyDescent="0.25">
      <c r="A665" s="21">
        <v>21</v>
      </c>
      <c r="B665" s="1">
        <v>70</v>
      </c>
      <c r="C665" s="3">
        <f t="shared" si="1"/>
        <v>4.0335912568306007</v>
      </c>
      <c r="D665" s="3">
        <f>B32^4*CURVAS!$B$6+B32^3*CURVAS!$C$6+B32^2*CURVAS!$D$6+B32^1*CURVAS!$E$6+B32^0*CURVAS!$F$6</f>
        <v>3.9865050000000002</v>
      </c>
    </row>
    <row r="666" spans="1:4" ht="15.75" x14ac:dyDescent="0.25">
      <c r="A666" s="21">
        <v>21</v>
      </c>
      <c r="B666" s="1">
        <v>71</v>
      </c>
      <c r="C666" s="3">
        <f t="shared" si="1"/>
        <v>4.082513661202186</v>
      </c>
      <c r="D666" s="3">
        <f>B33^4*CURVAS!$B$6+B33^3*CURVAS!$C$6+B33^2*CURVAS!$D$6+B33^1*CURVAS!$E$6+B33^0*CURVAS!$F$6</f>
        <v>4.0639378404999995</v>
      </c>
    </row>
    <row r="667" spans="1:4" ht="15.75" x14ac:dyDescent="0.25">
      <c r="A667" s="21">
        <v>21</v>
      </c>
      <c r="B667" s="1">
        <v>72</v>
      </c>
      <c r="C667" s="3">
        <f t="shared" si="1"/>
        <v>4.2458333333333336</v>
      </c>
      <c r="D667" s="3">
        <f>B34^4*CURVAS!$B$6+B34^3*CURVAS!$C$6+B34^2*CURVAS!$D$6+B34^1*CURVAS!$E$6+B34^0*CURVAS!$F$6</f>
        <v>4.1422729279999997</v>
      </c>
    </row>
    <row r="668" spans="1:4" ht="15.75" x14ac:dyDescent="0.25">
      <c r="A668" s="21">
        <v>21</v>
      </c>
      <c r="B668" s="1">
        <v>73</v>
      </c>
      <c r="C668" s="3">
        <f t="shared" si="1"/>
        <v>4.3411489776046732</v>
      </c>
      <c r="D668" s="3">
        <f>B35^4*CURVAS!$B$6+B35^3*CURVAS!$C$6+B35^2*CURVAS!$D$6+B35^1*CURVAS!$E$6+B35^0*CURVAS!$F$6</f>
        <v>4.2215231204999997</v>
      </c>
    </row>
    <row r="669" spans="1:4" ht="15.75" x14ac:dyDescent="0.25">
      <c r="A669" s="21">
        <v>21</v>
      </c>
      <c r="B669" s="1">
        <v>74</v>
      </c>
      <c r="C669" s="3">
        <f t="shared" si="1"/>
        <v>4.3138942307692307</v>
      </c>
      <c r="D669" s="3">
        <f>B36^4*CURVAS!$B$6+B36^3*CURVAS!$C$6+B36^2*CURVAS!$D$6+B36^1*CURVAS!$E$6+B36^0*CURVAS!$F$6</f>
        <v>4.3017012880000003</v>
      </c>
    </row>
    <row r="670" spans="1:4" ht="15.75" x14ac:dyDescent="0.25">
      <c r="A670" s="21">
        <v>21</v>
      </c>
      <c r="B670" s="1">
        <v>75</v>
      </c>
      <c r="C670" s="3">
        <f t="shared" si="1"/>
        <v>4.3142803030303023</v>
      </c>
      <c r="D670" s="3">
        <f>B37^4*CURVAS!$B$6+B37^3*CURVAS!$C$6+B37^2*CURVAS!$D$6+B37^1*CURVAS!$E$6+B37^0*CURVAS!$F$6</f>
        <v>4.3828203124999998</v>
      </c>
    </row>
    <row r="671" spans="1:4" ht="15.75" x14ac:dyDescent="0.25">
      <c r="A671" s="21">
        <v>21</v>
      </c>
      <c r="B671" s="1">
        <v>76</v>
      </c>
      <c r="C671" s="3">
        <f t="shared" si="1"/>
        <v>4.599858256555633</v>
      </c>
      <c r="D671" s="3">
        <f>B38^4*CURVAS!$B$6+B38^3*CURVAS!$C$6+B38^2*CURVAS!$D$6+B38^1*CURVAS!$E$6+B38^0*CURVAS!$F$6</f>
        <v>4.4648930879999993</v>
      </c>
    </row>
    <row r="672" spans="1:4" ht="15.75" x14ac:dyDescent="0.25">
      <c r="A672" s="21">
        <v>21</v>
      </c>
      <c r="B672" s="1">
        <v>77</v>
      </c>
      <c r="C672" s="3">
        <f t="shared" si="1"/>
        <v>4.5724637681159415</v>
      </c>
      <c r="D672" s="3">
        <f>B39^4*CURVAS!$B$6+B39^3*CURVAS!$C$6+B39^2*CURVAS!$D$6+B39^1*CURVAS!$E$6+B39^0*CURVAS!$F$6</f>
        <v>4.5479325204999999</v>
      </c>
    </row>
    <row r="673" spans="1:4" ht="15.75" x14ac:dyDescent="0.25">
      <c r="A673" s="21">
        <v>21</v>
      </c>
      <c r="B673" s="1">
        <v>78</v>
      </c>
      <c r="C673" s="3">
        <f t="shared" si="1"/>
        <v>4.6677731092436971</v>
      </c>
      <c r="D673" s="3">
        <f>B40^4*CURVAS!$B$6+B40^3*CURVAS!$C$6+B40^2*CURVAS!$D$6+B40^1*CURVAS!$E$6+B40^0*CURVAS!$F$6</f>
        <v>4.6319515280000001</v>
      </c>
    </row>
    <row r="674" spans="1:4" ht="15.75" x14ac:dyDescent="0.25">
      <c r="A674" s="21">
        <v>21</v>
      </c>
      <c r="B674" s="1">
        <v>79</v>
      </c>
      <c r="C674" s="3">
        <f t="shared" si="1"/>
        <v>4.6677731092436971</v>
      </c>
      <c r="D674" s="3">
        <f>B41^4*CURVAS!$B$6+B41^3*CURVAS!$C$6+B41^2*CURVAS!$D$6+B41^1*CURVAS!$E$6+B41^0*CURVAS!$F$6</f>
        <v>4.7169630405000005</v>
      </c>
    </row>
    <row r="675" spans="1:4" ht="15.75" x14ac:dyDescent="0.25">
      <c r="A675" s="21">
        <v>21</v>
      </c>
      <c r="B675" s="1">
        <v>80</v>
      </c>
      <c r="C675" s="3">
        <f t="shared" si="1"/>
        <v>4.9264275819609047</v>
      </c>
      <c r="D675" s="3">
        <f>B42^4*CURVAS!$B$6+B42^3*CURVAS!$C$6+B42^2*CURVAS!$D$6+B42^1*CURVAS!$E$6+B42^0*CURVAS!$F$6</f>
        <v>4.8029799999999998</v>
      </c>
    </row>
    <row r="676" spans="1:4" ht="15.75" x14ac:dyDescent="0.25">
      <c r="A676" s="21">
        <v>21</v>
      </c>
      <c r="B676" s="1">
        <v>81</v>
      </c>
      <c r="C676" s="3">
        <f t="shared" si="1"/>
        <v>5.0501442453689647</v>
      </c>
      <c r="D676" s="3">
        <f>B43^4*CURVAS!$B$6+B43^3*CURVAS!$C$6+B43^2*CURVAS!$D$6+B43^1*CURVAS!$E$6+B43^0*CURVAS!$F$6</f>
        <v>4.8900153604999996</v>
      </c>
    </row>
    <row r="677" spans="1:4" ht="15.75" x14ac:dyDescent="0.25">
      <c r="A677" s="21">
        <v>21</v>
      </c>
      <c r="B677" s="1">
        <v>82</v>
      </c>
      <c r="C677" s="3">
        <f t="shared" si="1"/>
        <v>5.0223333333333322</v>
      </c>
      <c r="D677" s="3">
        <f>B44^4*CURVAS!$B$6+B44^3*CURVAS!$C$6+B44^2*CURVAS!$D$6+B44^1*CURVAS!$E$6+B44^0*CURVAS!$F$6</f>
        <v>4.9780820879999998</v>
      </c>
    </row>
    <row r="678" spans="1:4" ht="15.75" x14ac:dyDescent="0.25">
      <c r="A678" s="21">
        <v>21</v>
      </c>
      <c r="B678" s="1">
        <v>83</v>
      </c>
      <c r="C678" s="3">
        <f t="shared" si="1"/>
        <v>4.9944029304029298</v>
      </c>
      <c r="D678" s="3">
        <f>B45^4*CURVAS!$B$6+B45^3*CURVAS!$C$6+B45^2*CURVAS!$D$6+B45^1*CURVAS!$E$6+B45^0*CURVAS!$F$6</f>
        <v>5.0671931604999996</v>
      </c>
    </row>
    <row r="679" spans="1:4" ht="15.75" x14ac:dyDescent="0.25">
      <c r="A679" s="21">
        <v>21</v>
      </c>
      <c r="B679" s="1">
        <v>84</v>
      </c>
      <c r="C679" s="3">
        <f t="shared" si="1"/>
        <v>5.2809601745771957</v>
      </c>
      <c r="D679" s="3">
        <f>B46^4*CURVAS!$B$6+B46^3*CURVAS!$C$6+B46^2*CURVAS!$D$6+B46^1*CURVAS!$E$6+B46^0*CURVAS!$F$6</f>
        <v>5.1573615679999998</v>
      </c>
    </row>
    <row r="680" spans="1:4" ht="15.75" x14ac:dyDescent="0.25">
      <c r="A680" s="21">
        <v>21</v>
      </c>
      <c r="B680" s="1">
        <v>85</v>
      </c>
      <c r="C680" s="3">
        <f t="shared" si="1"/>
        <v>5.3766822118587605</v>
      </c>
      <c r="D680" s="3">
        <f>B47^4*CURVAS!$B$6+B47^3*CURVAS!$C$6+B47^2*CURVAS!$D$6+B47^1*CURVAS!$E$6+B47^0*CURVAS!$F$6</f>
        <v>5.2486003124999998</v>
      </c>
    </row>
    <row r="681" spans="1:4" ht="15.75" x14ac:dyDescent="0.25">
      <c r="A681" s="21">
        <v>21</v>
      </c>
      <c r="B681" s="1">
        <v>86</v>
      </c>
      <c r="C681" s="3">
        <f t="shared" si="1"/>
        <v>5.3489583333333339</v>
      </c>
      <c r="D681" s="3">
        <f>B48^4*CURVAS!$B$6+B48^3*CURVAS!$C$6+B48^2*CURVAS!$D$6+B48^1*CURVAS!$E$6+B48^0*CURVAS!$F$6</f>
        <v>5.340922408</v>
      </c>
    </row>
    <row r="682" spans="1:4" ht="15.75" x14ac:dyDescent="0.25">
      <c r="A682" s="21">
        <v>21</v>
      </c>
      <c r="B682" s="1">
        <v>87</v>
      </c>
      <c r="C682" s="3">
        <f t="shared" si="1"/>
        <v>5.4441494845360818</v>
      </c>
      <c r="D682" s="3">
        <f>B49^4*CURVAS!$B$6+B49^3*CURVAS!$C$6+B49^2*CURVAS!$D$6+B49^1*CURVAS!$E$6+B49^0*CURVAS!$F$6</f>
        <v>5.4343408804999997</v>
      </c>
    </row>
    <row r="683" spans="1:4" ht="15.75" x14ac:dyDescent="0.25">
      <c r="A683" s="21">
        <v>21</v>
      </c>
      <c r="B683" s="1">
        <v>88</v>
      </c>
      <c r="C683" s="3">
        <f t="shared" si="1"/>
        <v>5.6075421686746987</v>
      </c>
      <c r="D683" s="3">
        <f>B50^4*CURVAS!$B$6+B50^3*CURVAS!$C$6+B50^2*CURVAS!$D$6+B50^1*CURVAS!$E$6+B50^0*CURVAS!$F$6</f>
        <v>5.5288687679999997</v>
      </c>
    </row>
    <row r="684" spans="1:4" ht="15.75" x14ac:dyDescent="0.25">
      <c r="A684" s="21">
        <v>21</v>
      </c>
      <c r="B684" s="1">
        <v>89</v>
      </c>
      <c r="C684" s="3">
        <f t="shared" si="1"/>
        <v>5.7032355021216414</v>
      </c>
      <c r="D684" s="3">
        <f>B51^4*CURVAS!$B$6+B51^3*CURVAS!$C$6+B51^2*CURVAS!$D$6+B51^1*CURVAS!$E$6+B51^0*CURVAS!$F$6</f>
        <v>5.6245191204999996</v>
      </c>
    </row>
    <row r="685" spans="1:4" ht="15.75" x14ac:dyDescent="0.25">
      <c r="A685" s="21">
        <v>21</v>
      </c>
      <c r="B685" s="1">
        <v>90</v>
      </c>
      <c r="C685" s="3">
        <f t="shared" si="1"/>
        <v>5.7990196078431371</v>
      </c>
      <c r="D685" s="3">
        <f>B52^4*CURVAS!$B$6+B52^3*CURVAS!$C$6+B52^2*CURVAS!$D$6+B52^1*CURVAS!$E$6+B52^0*CURVAS!$F$6</f>
        <v>5.7213050000000001</v>
      </c>
    </row>
    <row r="686" spans="1:4" ht="15.75" x14ac:dyDescent="0.25">
      <c r="A686" s="21">
        <v>21</v>
      </c>
      <c r="B686" s="1">
        <v>91</v>
      </c>
      <c r="C686" s="3">
        <f t="shared" si="1"/>
        <v>5.7707024557395767</v>
      </c>
      <c r="D686" s="3">
        <f>B53^4*CURVAS!$B$6+B53^3*CURVAS!$C$6+B53^2*CURVAS!$D$6+B53^1*CURVAS!$E$6+B53^0*CURVAS!$F$6</f>
        <v>5.8192394805000003</v>
      </c>
    </row>
    <row r="687" spans="1:4" ht="15.75" x14ac:dyDescent="0.25">
      <c r="A687" s="21">
        <v>21</v>
      </c>
      <c r="B687" s="1">
        <v>92</v>
      </c>
      <c r="C687" s="3">
        <f t="shared" si="1"/>
        <v>6.0584428662285346</v>
      </c>
      <c r="D687" s="3">
        <f>B54^4*CURVAS!$B$6+B54^3*CURVAS!$C$6+B54^2*CURVAS!$D$6+B54^1*CURVAS!$E$6+B54^0*CURVAS!$F$6</f>
        <v>5.9183356480000002</v>
      </c>
    </row>
    <row r="688" spans="1:4" ht="15.75" x14ac:dyDescent="0.25">
      <c r="A688" s="21">
        <v>21</v>
      </c>
      <c r="B688" s="1">
        <v>93</v>
      </c>
      <c r="C688" s="3">
        <f t="shared" si="1"/>
        <v>6.1539745878399668</v>
      </c>
      <c r="D688" s="3">
        <f>B55^4*CURVAS!$B$6+B55^3*CURVAS!$C$6+B55^2*CURVAS!$D$6+B55^1*CURVAS!$E$6+B55^0*CURVAS!$F$6</f>
        <v>6.0186066004999992</v>
      </c>
    </row>
    <row r="689" spans="1:4" ht="15.75" x14ac:dyDescent="0.25">
      <c r="A689" s="21">
        <v>21</v>
      </c>
      <c r="B689" s="1">
        <v>94</v>
      </c>
      <c r="C689" s="3">
        <f t="shared" si="1"/>
        <v>6.2499999999999991</v>
      </c>
      <c r="D689" s="3">
        <f>B56^4*CURVAS!$B$6+B56^3*CURVAS!$C$6+B56^2*CURVAS!$D$6+B56^1*CURVAS!$E$6+B56^0*CURVAS!$F$6</f>
        <v>6.1200654480000001</v>
      </c>
    </row>
    <row r="690" spans="1:4" ht="15.75" x14ac:dyDescent="0.25">
      <c r="A690" s="21">
        <v>21</v>
      </c>
      <c r="B690" s="1">
        <v>95</v>
      </c>
      <c r="C690" s="3">
        <f t="shared" si="1"/>
        <v>6.2213932856134697</v>
      </c>
      <c r="D690" s="3">
        <f>B57^4*CURVAS!$B$6+B57^3*CURVAS!$C$6+B57^2*CURVAS!$D$6+B57^1*CURVAS!$E$6+B57^0*CURVAS!$F$6</f>
        <v>6.2227253124999997</v>
      </c>
    </row>
    <row r="691" spans="1:4" ht="15.75" x14ac:dyDescent="0.25">
      <c r="A691" s="21">
        <v>21</v>
      </c>
      <c r="B691" s="1">
        <v>96</v>
      </c>
      <c r="C691" s="3">
        <f t="shared" si="1"/>
        <v>6.4804180003765763</v>
      </c>
      <c r="D691" s="3">
        <f>B58^4*CURVAS!$B$6+B58^3*CURVAS!$C$6+B58^2*CURVAS!$D$6+B58^1*CURVAS!$E$6+B58^0*CURVAS!$F$6</f>
        <v>6.3265993280000004</v>
      </c>
    </row>
    <row r="692" spans="1:4" ht="15.75" x14ac:dyDescent="0.25">
      <c r="A692" s="21">
        <v>21</v>
      </c>
      <c r="B692" s="1">
        <v>97</v>
      </c>
      <c r="C692" s="3">
        <f t="shared" si="1"/>
        <v>6.5764035087719304</v>
      </c>
      <c r="D692" s="3">
        <f>B59^4*CURVAS!$B$6+B59^3*CURVAS!$C$6+B59^2*CURVAS!$D$6+B59^1*CURVAS!$E$6+B59^0*CURVAS!$F$6</f>
        <v>6.4317006404999999</v>
      </c>
    </row>
    <row r="693" spans="1:4" ht="15.75" x14ac:dyDescent="0.25">
      <c r="A693" s="21">
        <v>21</v>
      </c>
      <c r="B693" s="1">
        <v>98</v>
      </c>
      <c r="C693" s="3">
        <f t="shared" si="1"/>
        <v>6.672463768115942</v>
      </c>
      <c r="D693" s="3">
        <f>B60^4*CURVAS!$B$6+B60^3*CURVAS!$C$6+B60^2*CURVAS!$D$6+B60^1*CURVAS!$E$6+B60^0*CURVAS!$F$6</f>
        <v>6.5380424079999999</v>
      </c>
    </row>
    <row r="694" spans="1:4" ht="15.75" x14ac:dyDescent="0.25">
      <c r="A694" s="21">
        <v>21</v>
      </c>
      <c r="B694" s="1">
        <v>99</v>
      </c>
      <c r="C694" s="3">
        <f t="shared" si="1"/>
        <v>6.6437966583718451</v>
      </c>
      <c r="D694" s="3">
        <f>B61^4*CURVAS!$B$6+B61^3*CURVAS!$C$6+B61^2*CURVAS!$D$6+B61^1*CURVAS!$E$6+B61^0*CURVAS!$F$6</f>
        <v>6.6456378005000003</v>
      </c>
    </row>
    <row r="695" spans="1:4" ht="15.75" x14ac:dyDescent="0.25">
      <c r="A695" s="21">
        <v>21</v>
      </c>
      <c r="B695" s="1">
        <v>100</v>
      </c>
      <c r="C695" s="3">
        <f t="shared" si="1"/>
        <v>6.9028333333333345</v>
      </c>
      <c r="D695" s="3">
        <f>B62^4*CURVAS!$B$6+B62^3*CURVAS!$C$6+B62^2*CURVAS!$D$6+B62^1*CURVAS!$E$6+B62^0*CURVAS!$F$6</f>
        <v>6.7544999999999993</v>
      </c>
    </row>
    <row r="696" spans="1:4" ht="15.75" x14ac:dyDescent="0.25">
      <c r="A696" s="21">
        <v>21</v>
      </c>
      <c r="B696" s="1">
        <v>101</v>
      </c>
      <c r="C696" s="3">
        <f t="shared" si="1"/>
        <v>6.9988544308976355</v>
      </c>
      <c r="D696" s="3">
        <f>B63^4*CURVAS!$B$6+B63^3*CURVAS!$C$6+B63^2*CURVAS!$D$6+B63^1*CURVAS!$E$6+B63^0*CURVAS!$F$6</f>
        <v>6.8646422004999996</v>
      </c>
    </row>
    <row r="697" spans="1:4" ht="15.75" x14ac:dyDescent="0.25">
      <c r="A697" s="21">
        <v>21</v>
      </c>
      <c r="B697" s="1">
        <v>102</v>
      </c>
      <c r="C697" s="3">
        <f t="shared" si="1"/>
        <v>7.0949453551912569</v>
      </c>
      <c r="D697" s="3">
        <f>B64^4*CURVAS!$B$6+B64^3*CURVAS!$C$6+B64^2*CURVAS!$D$6+B64^1*CURVAS!$E$6+B64^0*CURVAS!$F$6</f>
        <v>6.9760776079999998</v>
      </c>
    </row>
    <row r="698" spans="1:4" ht="15.75" x14ac:dyDescent="0.25">
      <c r="A698" s="21">
        <v>21</v>
      </c>
      <c r="B698" s="1">
        <v>103</v>
      </c>
      <c r="C698" s="3">
        <f t="shared" si="1"/>
        <v>7.0662246428289528</v>
      </c>
      <c r="D698" s="3">
        <f>B65^4*CURVAS!$B$6+B65^3*CURVAS!$C$6+B65^2*CURVAS!$D$6+B65^1*CURVAS!$E$6+B65^0*CURVAS!$F$6</f>
        <v>7.0888194404999991</v>
      </c>
    </row>
    <row r="699" spans="1:4" ht="15.75" x14ac:dyDescent="0.25">
      <c r="A699" s="21">
        <v>21</v>
      </c>
      <c r="B699" s="1">
        <v>104</v>
      </c>
      <c r="C699" s="3">
        <f t="shared" ref="C699:C762" si="2">C488*(C277/C66+C488/C277)/2</f>
        <v>7.4504939830634394</v>
      </c>
      <c r="D699" s="3">
        <f>B66^4*CURVAS!$B$6+B66^3*CURVAS!$C$6+B66^2*CURVAS!$D$6+B66^1*CURVAS!$E$6+B66^0*CURVAS!$F$6</f>
        <v>7.2028809279999999</v>
      </c>
    </row>
    <row r="700" spans="1:4" ht="15.75" x14ac:dyDescent="0.25">
      <c r="A700" s="21">
        <v>21</v>
      </c>
      <c r="B700" s="1">
        <v>105</v>
      </c>
      <c r="C700" s="3">
        <f t="shared" si="2"/>
        <v>7.4213237441588786</v>
      </c>
      <c r="D700" s="3">
        <f>B67^4*CURVAS!$B$6+B67^3*CURVAS!$C$6+B67^2*CURVAS!$D$6+B67^1*CURVAS!$E$6+B67^0*CURVAS!$F$6</f>
        <v>7.3182753125</v>
      </c>
    </row>
    <row r="701" spans="1:4" ht="15.75" x14ac:dyDescent="0.25">
      <c r="A701" s="21">
        <v>21</v>
      </c>
      <c r="B701" s="1">
        <v>106</v>
      </c>
      <c r="C701" s="3">
        <f t="shared" si="2"/>
        <v>7.546875</v>
      </c>
      <c r="D701" s="3">
        <f>B68^4*CURVAS!$B$6+B68^3*CURVAS!$C$6+B68^2*CURVAS!$D$6+B68^1*CURVAS!$E$6+B68^0*CURVAS!$F$6</f>
        <v>7.435015847999999</v>
      </c>
    </row>
    <row r="702" spans="1:4" ht="15.75" x14ac:dyDescent="0.25">
      <c r="A702" s="21">
        <v>21</v>
      </c>
      <c r="B702" s="1">
        <v>107</v>
      </c>
      <c r="C702" s="3">
        <f t="shared" si="2"/>
        <v>7.6431974966218617</v>
      </c>
      <c r="D702" s="3">
        <f>B69^4*CURVAS!$B$6+B69^3*CURVAS!$C$6+B69^2*CURVAS!$D$6+B69^1*CURVAS!$E$6+B69^0*CURVAS!$F$6</f>
        <v>7.5531158004999996</v>
      </c>
    </row>
    <row r="703" spans="1:4" ht="15.75" x14ac:dyDescent="0.25">
      <c r="A703" s="21">
        <v>21</v>
      </c>
      <c r="B703" s="1">
        <v>108</v>
      </c>
      <c r="C703" s="3">
        <f t="shared" si="2"/>
        <v>7.8731673490952314</v>
      </c>
      <c r="D703" s="3">
        <f>B70^4*CURVAS!$B$6+B70^3*CURVAS!$C$6+B70^2*CURVAS!$D$6+B70^1*CURVAS!$E$6+B70^0*CURVAS!$F$6</f>
        <v>7.6725884479999999</v>
      </c>
    </row>
    <row r="704" spans="1:4" ht="15.75" x14ac:dyDescent="0.25">
      <c r="A704" s="21">
        <v>21</v>
      </c>
      <c r="B704" s="1">
        <v>109</v>
      </c>
      <c r="C704" s="3">
        <f t="shared" si="2"/>
        <v>7.9694444444444432</v>
      </c>
      <c r="D704" s="3">
        <f>B71^4*CURVAS!$B$6+B71^3*CURVAS!$C$6+B71^2*CURVAS!$D$6+B71^1*CURVAS!$E$6+B71^0*CURVAS!$F$6</f>
        <v>7.7934470805</v>
      </c>
    </row>
    <row r="705" spans="1:4" ht="15.75" x14ac:dyDescent="0.25">
      <c r="A705" s="21">
        <v>21</v>
      </c>
      <c r="B705" s="1">
        <v>110</v>
      </c>
      <c r="C705" s="3">
        <f t="shared" si="2"/>
        <v>8.0657800511508952</v>
      </c>
      <c r="D705" s="3">
        <f>B72^4*CURVAS!$B$6+B72^3*CURVAS!$C$6+B72^2*CURVAS!$D$6+B72^1*CURVAS!$E$6+B72^0*CURVAS!$F$6</f>
        <v>7.915705</v>
      </c>
    </row>
    <row r="706" spans="1:4" ht="15.75" x14ac:dyDescent="0.25">
      <c r="A706" s="21">
        <v>21</v>
      </c>
      <c r="B706" s="1">
        <v>111</v>
      </c>
      <c r="C706" s="3">
        <f t="shared" si="2"/>
        <v>8.162172791341554</v>
      </c>
      <c r="D706" s="3">
        <f>B73^4*CURVAS!$B$6+B73^3*CURVAS!$C$6+B73^2*CURVAS!$D$6+B73^1*CURVAS!$E$6+B73^0*CURVAS!$F$6</f>
        <v>8.0393755205000001</v>
      </c>
    </row>
    <row r="707" spans="1:4" ht="15.75" x14ac:dyDescent="0.25">
      <c r="A707" s="21">
        <v>21</v>
      </c>
      <c r="B707" s="1">
        <v>112</v>
      </c>
      <c r="C707" s="3">
        <f t="shared" si="2"/>
        <v>8.3920187793427239</v>
      </c>
      <c r="D707" s="3">
        <f>B74^4*CURVAS!$B$6+B74^3*CURVAS!$C$6+B74^2*CURVAS!$D$6+B74^1*CURVAS!$E$6+B74^0*CURVAS!$F$6</f>
        <v>8.1644719680000009</v>
      </c>
    </row>
    <row r="708" spans="1:4" ht="15.75" x14ac:dyDescent="0.25">
      <c r="A708" s="21">
        <v>21</v>
      </c>
      <c r="B708" s="1">
        <v>113</v>
      </c>
      <c r="C708" s="3">
        <f t="shared" si="2"/>
        <v>8.4883661792752694</v>
      </c>
      <c r="D708" s="3">
        <f>B75^4*CURVAS!$B$6+B75^3*CURVAS!$C$6+B75^2*CURVAS!$D$6+B75^1*CURVAS!$E$6+B75^0*CURVAS!$F$6</f>
        <v>8.2910076804999999</v>
      </c>
    </row>
    <row r="709" spans="1:4" ht="15.75" x14ac:dyDescent="0.25">
      <c r="A709" s="21">
        <v>21</v>
      </c>
      <c r="B709" s="1">
        <v>114</v>
      </c>
      <c r="C709" s="3">
        <f t="shared" si="2"/>
        <v>8.5847677595628404</v>
      </c>
      <c r="D709" s="3">
        <f>B76^4*CURVAS!$B$6+B76^3*CURVAS!$C$6+B76^2*CURVAS!$D$6+B76^1*CURVAS!$E$6+B76^0*CURVAS!$F$6</f>
        <v>8.4189960080000006</v>
      </c>
    </row>
    <row r="710" spans="1:4" ht="15.75" x14ac:dyDescent="0.25">
      <c r="A710" s="21">
        <v>21</v>
      </c>
      <c r="B710" s="1">
        <v>115</v>
      </c>
      <c r="C710" s="3">
        <f t="shared" si="2"/>
        <v>8.6812223156714339</v>
      </c>
      <c r="D710" s="3">
        <f>B77^4*CURVAS!$B$6+B77^3*CURVAS!$C$6+B77^2*CURVAS!$D$6+B77^1*CURVAS!$E$6+B77^0*CURVAS!$F$6</f>
        <v>8.5484503125000018</v>
      </c>
    </row>
    <row r="711" spans="1:4" ht="15.75" x14ac:dyDescent="0.25">
      <c r="A711" s="21">
        <v>21</v>
      </c>
      <c r="B711" s="1">
        <v>116</v>
      </c>
      <c r="C711" s="3">
        <f t="shared" si="2"/>
        <v>8.9109553805774269</v>
      </c>
      <c r="D711" s="3">
        <f>B78^4*CURVAS!$B$6+B78^3*CURVAS!$C$6+B78^2*CURVAS!$D$6+B78^1*CURVAS!$E$6+B78^0*CURVAS!$F$6</f>
        <v>8.6793839679999998</v>
      </c>
    </row>
    <row r="712" spans="1:4" ht="15.75" x14ac:dyDescent="0.25">
      <c r="A712" s="21">
        <v>21</v>
      </c>
      <c r="B712" s="1">
        <v>117</v>
      </c>
      <c r="C712" s="3">
        <f t="shared" si="2"/>
        <v>9.0073649627483423</v>
      </c>
      <c r="D712" s="3">
        <f>B79^4*CURVAS!$B$6+B79^3*CURVAS!$C$6+B79^2*CURVAS!$D$6+B79^1*CURVAS!$E$6+B79^0*CURVAS!$F$6</f>
        <v>8.8118103605000009</v>
      </c>
    </row>
    <row r="713" spans="1:4" ht="15.75" x14ac:dyDescent="0.25">
      <c r="A713" s="21">
        <v>21</v>
      </c>
      <c r="B713" s="1">
        <v>118</v>
      </c>
      <c r="C713" s="3">
        <f t="shared" si="2"/>
        <v>9.1036184210526319</v>
      </c>
      <c r="D713" s="3">
        <f>B80^4*CURVAS!$B$6+B80^3*CURVAS!$C$6+B80^2*CURVAS!$D$6+B80^1*CURVAS!$E$6+B80^0*CURVAS!$F$6</f>
        <v>8.9457428879999998</v>
      </c>
    </row>
    <row r="714" spans="1:4" ht="15.75" x14ac:dyDescent="0.25">
      <c r="A714" s="21">
        <v>21</v>
      </c>
      <c r="B714" s="1">
        <v>119</v>
      </c>
      <c r="C714" s="3">
        <f t="shared" si="2"/>
        <v>9.2001367989056089</v>
      </c>
      <c r="D714" s="3">
        <f>B81^4*CURVAS!$B$6+B81^3*CURVAS!$C$6+B81^2*CURVAS!$D$6+B81^1*CURVAS!$E$6+B81^0*CURVAS!$F$6</f>
        <v>9.0811949604999995</v>
      </c>
    </row>
    <row r="715" spans="1:4" ht="15.75" x14ac:dyDescent="0.25">
      <c r="A715" s="21">
        <v>21</v>
      </c>
      <c r="B715" s="1">
        <v>120</v>
      </c>
      <c r="C715" s="3">
        <f t="shared" si="2"/>
        <v>9.5563243907047042</v>
      </c>
      <c r="D715" s="3">
        <f>B82^4*CURVAS!$B$6+B82^3*CURVAS!$C$6+B82^2*CURVAS!$D$6+B82^1*CURVAS!$E$6+B82^0*CURVAS!$F$6</f>
        <v>9.2181800000000003</v>
      </c>
    </row>
    <row r="716" spans="1:4" ht="15.75" x14ac:dyDescent="0.25">
      <c r="A716" s="21">
        <v>21</v>
      </c>
      <c r="B716" s="1">
        <v>121</v>
      </c>
      <c r="C716" s="3">
        <f t="shared" si="2"/>
        <v>9.6529559748427687</v>
      </c>
      <c r="D716" s="3">
        <f>B83^4*CURVAS!$B$6+B83^3*CURVAS!$C$6+B83^2*CURVAS!$D$6+B83^1*CURVAS!$E$6+B83^0*CURVAS!$F$6</f>
        <v>9.3567114404999998</v>
      </c>
    </row>
    <row r="717" spans="1:4" ht="15.75" x14ac:dyDescent="0.25">
      <c r="A717" s="21">
        <v>21</v>
      </c>
      <c r="B717" s="1">
        <v>122</v>
      </c>
      <c r="C717" s="3">
        <f t="shared" si="2"/>
        <v>9.7496323529411768</v>
      </c>
      <c r="D717" s="3">
        <f>B84^4*CURVAS!$B$6+B84^3*CURVAS!$C$6+B84^2*CURVAS!$D$6+B84^1*CURVAS!$E$6+B84^0*CURVAS!$F$6</f>
        <v>9.4968027280000005</v>
      </c>
    </row>
    <row r="718" spans="1:4" ht="15.75" x14ac:dyDescent="0.25">
      <c r="A718" s="21">
        <v>21</v>
      </c>
      <c r="B718" s="1">
        <v>123</v>
      </c>
      <c r="C718" s="3">
        <f t="shared" si="2"/>
        <v>9.8463526318175614</v>
      </c>
      <c r="D718" s="3">
        <f>B85^4*CURVAS!$B$6+B85^3*CURVAS!$C$6+B85^2*CURVAS!$D$6+B85^1*CURVAS!$E$6+B85^0*CURVAS!$F$6</f>
        <v>9.6384673205000002</v>
      </c>
    </row>
    <row r="719" spans="1:4" ht="15.75" x14ac:dyDescent="0.25">
      <c r="A719" s="21">
        <v>21</v>
      </c>
      <c r="B719" s="1">
        <v>124</v>
      </c>
      <c r="C719" s="3">
        <f t="shared" si="2"/>
        <v>10.172218942396896</v>
      </c>
      <c r="D719" s="3">
        <f>B86^4*CURVAS!$B$6+B86^3*CURVAS!$C$6+B86^2*CURVAS!$D$6+B86^1*CURVAS!$E$6+B86^0*CURVAS!$F$6</f>
        <v>9.7817186879999998</v>
      </c>
    </row>
    <row r="720" spans="1:4" ht="15.75" x14ac:dyDescent="0.25">
      <c r="A720" s="21">
        <v>21</v>
      </c>
      <c r="B720" s="1">
        <v>125</v>
      </c>
      <c r="C720" s="3">
        <f t="shared" si="2"/>
        <v>10.268933150183148</v>
      </c>
      <c r="D720" s="3">
        <f>B87^4*CURVAS!$B$6+B87^3*CURVAS!$C$6+B87^2*CURVAS!$D$6+B87^1*CURVAS!$E$6+B87^0*CURVAS!$F$6</f>
        <v>9.9265703125000009</v>
      </c>
    </row>
    <row r="721" spans="1:4" ht="15.75" x14ac:dyDescent="0.25">
      <c r="A721" s="21">
        <v>21</v>
      </c>
      <c r="B721" s="1">
        <v>126</v>
      </c>
      <c r="C721" s="3">
        <f t="shared" si="2"/>
        <v>10.365688691650229</v>
      </c>
      <c r="D721" s="3">
        <f>B88^4*CURVAS!$B$6+B88^3*CURVAS!$C$6+B88^2*CURVAS!$D$6+B88^1*CURVAS!$E$6+B88^0*CURVAS!$F$6</f>
        <v>10.073035688000001</v>
      </c>
    </row>
    <row r="722" spans="1:4" ht="15.75" x14ac:dyDescent="0.25">
      <c r="A722" s="21">
        <v>21</v>
      </c>
      <c r="B722" s="1">
        <v>127</v>
      </c>
      <c r="C722" s="3">
        <f t="shared" si="2"/>
        <v>10.462484787018257</v>
      </c>
      <c r="D722" s="3">
        <f>B89^4*CURVAS!$B$6+B89^3*CURVAS!$C$6+B89^2*CURVAS!$D$6+B89^1*CURVAS!$E$6+B89^0*CURVAS!$F$6</f>
        <v>10.2211283205</v>
      </c>
    </row>
    <row r="723" spans="1:4" ht="15.75" x14ac:dyDescent="0.25">
      <c r="A723" s="21">
        <v>21</v>
      </c>
      <c r="B723" s="1">
        <v>128</v>
      </c>
      <c r="C723" s="3">
        <f t="shared" si="2"/>
        <v>10.78826515151515</v>
      </c>
      <c r="D723" s="3">
        <f>B90^4*CURVAS!$B$6+B90^3*CURVAS!$C$6+B90^2*CURVAS!$D$6+B90^1*CURVAS!$E$6+B90^0*CURVAS!$F$6</f>
        <v>10.370861728000001</v>
      </c>
    </row>
    <row r="724" spans="1:4" ht="15.75" x14ac:dyDescent="0.25">
      <c r="A724" s="21">
        <v>21</v>
      </c>
      <c r="B724" s="1">
        <v>129</v>
      </c>
      <c r="C724" s="3">
        <f t="shared" si="2"/>
        <v>10.885052568563626</v>
      </c>
      <c r="D724" s="3">
        <f>B91^4*CURVAS!$B$6+B91^3*CURVAS!$C$6+B91^2*CURVAS!$D$6+B91^1*CURVAS!$E$6+B91^0*CURVAS!$F$6</f>
        <v>10.522249440500001</v>
      </c>
    </row>
    <row r="725" spans="1:4" ht="15.75" x14ac:dyDescent="0.25">
      <c r="A725" s="21">
        <v>21</v>
      </c>
      <c r="B725" s="1">
        <v>130</v>
      </c>
      <c r="C725" s="3">
        <f t="shared" si="2"/>
        <v>10.85464222353637</v>
      </c>
      <c r="D725" s="3">
        <f>B92^4*CURVAS!$B$6+B92^3*CURVAS!$C$6+B92^2*CURVAS!$D$6+B92^1*CURVAS!$E$6+B92^0*CURVAS!$F$6</f>
        <v>10.675305000000002</v>
      </c>
    </row>
    <row r="726" spans="1:4" ht="15.75" x14ac:dyDescent="0.25">
      <c r="A726" s="21">
        <v>21</v>
      </c>
      <c r="B726" s="1">
        <v>131</v>
      </c>
      <c r="C726" s="3">
        <f t="shared" si="2"/>
        <v>10.95136378573776</v>
      </c>
      <c r="D726" s="3">
        <f>B93^4*CURVAS!$B$6+B93^3*CURVAS!$C$6+B93^2*CURVAS!$D$6+B93^1*CURVAS!$E$6+B93^0*CURVAS!$F$6</f>
        <v>10.830041960500001</v>
      </c>
    </row>
    <row r="727" spans="1:4" ht="15.75" x14ac:dyDescent="0.25">
      <c r="A727" s="21">
        <v>21</v>
      </c>
      <c r="B727" s="1">
        <v>132</v>
      </c>
      <c r="C727" s="3">
        <f t="shared" si="2"/>
        <v>11.404440643174821</v>
      </c>
      <c r="D727" s="3">
        <f>B94^4*CURVAS!$B$6+B94^3*CURVAS!$C$6+B94^2*CURVAS!$D$6+B94^1*CURVAS!$E$6+B94^0*CURVAS!$F$6</f>
        <v>10.986473888000001</v>
      </c>
    </row>
    <row r="728" spans="1:4" ht="15.75" x14ac:dyDescent="0.25">
      <c r="A728" s="21">
        <v>21</v>
      </c>
      <c r="B728" s="1">
        <v>133</v>
      </c>
      <c r="C728" s="3">
        <f t="shared" si="2"/>
        <v>11.501293365794279</v>
      </c>
      <c r="D728" s="3">
        <f>B95^4*CURVAS!$B$6+B95^3*CURVAS!$C$6+B95^2*CURVAS!$D$6+B95^1*CURVAS!$E$6+B95^0*CURVAS!$F$6</f>
        <v>11.1446143605</v>
      </c>
    </row>
    <row r="729" spans="1:4" ht="15.75" x14ac:dyDescent="0.25">
      <c r="A729" s="21">
        <v>21</v>
      </c>
      <c r="B729" s="1">
        <v>134</v>
      </c>
      <c r="C729" s="3">
        <f t="shared" si="2"/>
        <v>11.598181818181818</v>
      </c>
      <c r="D729" s="3">
        <f>B96^4*CURVAS!$B$6+B96^3*CURVAS!$C$6+B96^2*CURVAS!$D$6+B96^1*CURVAS!$E$6+B96^0*CURVAS!$F$6</f>
        <v>11.304476968000001</v>
      </c>
    </row>
    <row r="730" spans="1:4" ht="15.75" x14ac:dyDescent="0.25">
      <c r="A730" s="21">
        <v>21</v>
      </c>
      <c r="B730" s="1">
        <v>135</v>
      </c>
      <c r="C730" s="3">
        <f t="shared" si="2"/>
        <v>11.664067172762824</v>
      </c>
      <c r="D730" s="3">
        <f>B97^4*CURVAS!$B$6+B97^3*CURVAS!$C$6+B97^2*CURVAS!$D$6+B97^1*CURVAS!$E$6+B97^0*CURVAS!$F$6</f>
        <v>11.466075312500001</v>
      </c>
    </row>
    <row r="731" spans="1:4" ht="15.75" x14ac:dyDescent="0.25">
      <c r="A731" s="21">
        <v>21</v>
      </c>
      <c r="B731" s="1">
        <v>136</v>
      </c>
      <c r="C731" s="3">
        <f t="shared" si="2"/>
        <v>12.117638569015813</v>
      </c>
      <c r="D731" s="3">
        <f>B98^4*CURVAS!$B$6+B98^3*CURVAS!$C$6+B98^2*CURVAS!$D$6+B98^1*CURVAS!$E$6+B98^0*CURVAS!$F$6</f>
        <v>11.629423008</v>
      </c>
    </row>
    <row r="732" spans="1:4" ht="15.75" x14ac:dyDescent="0.25">
      <c r="A732" s="21">
        <v>21</v>
      </c>
      <c r="B732" s="1">
        <v>137</v>
      </c>
      <c r="C732" s="3">
        <f t="shared" si="2"/>
        <v>12.214583333333334</v>
      </c>
      <c r="D732" s="3">
        <f>B99^4*CURVAS!$B$6+B99^3*CURVAS!$C$6+B99^2*CURVAS!$D$6+B99^1*CURVAS!$E$6+B99^0*CURVAS!$F$6</f>
        <v>11.794533680500001</v>
      </c>
    </row>
    <row r="733" spans="1:4" ht="15.75" x14ac:dyDescent="0.25">
      <c r="A733" s="21">
        <v>21</v>
      </c>
      <c r="B733" s="1">
        <v>138</v>
      </c>
      <c r="C733" s="3">
        <f t="shared" si="2"/>
        <v>12.280365788058097</v>
      </c>
      <c r="D733" s="3">
        <f>B100^4*CURVAS!$B$6+B100^3*CURVAS!$C$6+B100^2*CURVAS!$D$6+B100^1*CURVAS!$E$6+B100^0*CURVAS!$F$6</f>
        <v>11.961420968000001</v>
      </c>
    </row>
    <row r="734" spans="1:4" ht="15.75" x14ac:dyDescent="0.25">
      <c r="A734" s="21">
        <v>21</v>
      </c>
      <c r="B734" s="1">
        <v>139</v>
      </c>
      <c r="C734" s="3">
        <f t="shared" si="2"/>
        <v>12.377290866095182</v>
      </c>
      <c r="D734" s="3">
        <f>B101^4*CURVAS!$B$6+B101^3*CURVAS!$C$6+B101^2*CURVAS!$D$6+B101^1*CURVAS!$E$6+B101^0*CURVAS!$F$6</f>
        <v>12.130098520499999</v>
      </c>
    </row>
    <row r="735" spans="1:4" ht="15.75" x14ac:dyDescent="0.25">
      <c r="A735" s="21">
        <v>21</v>
      </c>
      <c r="B735" s="1">
        <v>140</v>
      </c>
      <c r="C735" s="3">
        <f t="shared" si="2"/>
        <v>12.831069844789358</v>
      </c>
      <c r="D735" s="3">
        <f>B102^4*CURVAS!$B$6+B102^3*CURVAS!$C$6+B102^2*CURVAS!$D$6+B102^1*CURVAS!$E$6+B102^0*CURVAS!$F$6</f>
        <v>12.30058</v>
      </c>
    </row>
    <row r="736" spans="1:4" ht="15.75" x14ac:dyDescent="0.25">
      <c r="A736" s="21">
        <v>21</v>
      </c>
      <c r="B736" s="1">
        <v>141</v>
      </c>
      <c r="C736" s="3">
        <f t="shared" si="2"/>
        <v>12.928096374307499</v>
      </c>
      <c r="D736" s="3">
        <f>B103^4*CURVAS!$B$6+B103^3*CURVAS!$C$6+B103^2*CURVAS!$D$6+B103^1*CURVAS!$E$6+B103^0*CURVAS!$F$6</f>
        <v>12.4728790805</v>
      </c>
    </row>
    <row r="737" spans="1:4" ht="15.75" x14ac:dyDescent="0.25">
      <c r="A737" s="21">
        <v>21</v>
      </c>
      <c r="B737" s="1">
        <v>142</v>
      </c>
      <c r="C737" s="3">
        <f t="shared" si="2"/>
        <v>13.02515334093253</v>
      </c>
      <c r="D737" s="3">
        <f>B104^4*CURVAS!$B$6+B104^3*CURVAS!$C$6+B104^2*CURVAS!$D$6+B104^1*CURVAS!$E$6+B104^0*CURVAS!$F$6</f>
        <v>12.647009448</v>
      </c>
    </row>
    <row r="738" spans="1:4" ht="15.75" x14ac:dyDescent="0.25">
      <c r="A738" s="21">
        <v>21</v>
      </c>
      <c r="B738" s="1">
        <v>143</v>
      </c>
      <c r="C738" s="3">
        <f t="shared" si="2"/>
        <v>13.090740691240546</v>
      </c>
      <c r="D738" s="3">
        <f>B105^4*CURVAS!$B$6+B105^3*CURVAS!$C$6+B105^2*CURVAS!$D$6+B105^1*CURVAS!$E$6+B105^0*CURVAS!$F$6</f>
        <v>12.8229848005</v>
      </c>
    </row>
    <row r="739" spans="1:4" ht="15.75" x14ac:dyDescent="0.25">
      <c r="A739" s="21">
        <v>21</v>
      </c>
      <c r="B739" s="1">
        <v>144</v>
      </c>
      <c r="C739" s="3">
        <f t="shared" si="2"/>
        <v>13.513230730730731</v>
      </c>
      <c r="D739" s="3">
        <f>B106^4*CURVAS!$B$6+B106^3*CURVAS!$C$6+B106^2*CURVAS!$D$6+B106^1*CURVAS!$E$6+B106^0*CURVAS!$F$6</f>
        <v>13.000818848000002</v>
      </c>
    </row>
    <row r="740" spans="1:4" ht="15.75" x14ac:dyDescent="0.25">
      <c r="A740" s="21">
        <v>21</v>
      </c>
      <c r="B740" s="1">
        <v>145</v>
      </c>
      <c r="C740" s="3">
        <f t="shared" si="2"/>
        <v>13.610253456221198</v>
      </c>
      <c r="D740" s="3">
        <f>B107^4*CURVAS!$B$6+B107^3*CURVAS!$C$6+B107^2*CURVAS!$D$6+B107^1*CURVAS!$E$6+B107^0*CURVAS!$F$6</f>
        <v>13.180525312500002</v>
      </c>
    </row>
    <row r="741" spans="1:4" ht="15.75" x14ac:dyDescent="0.25">
      <c r="A741" s="21">
        <v>21</v>
      </c>
      <c r="B741" s="1">
        <v>146</v>
      </c>
      <c r="C741" s="3">
        <f t="shared" si="2"/>
        <v>13.707305107197174</v>
      </c>
      <c r="D741" s="3">
        <f>B108^4*CURVAS!$B$6+B108^3*CURVAS!$C$6+B108^2*CURVAS!$D$6+B108^1*CURVAS!$E$6+B108^0*CURVAS!$F$6</f>
        <v>13.362117928</v>
      </c>
    </row>
    <row r="742" spans="1:4" ht="15.75" x14ac:dyDescent="0.25">
      <c r="A742" s="21">
        <v>21</v>
      </c>
      <c r="B742" s="1">
        <v>147</v>
      </c>
      <c r="C742" s="3">
        <f t="shared" si="2"/>
        <v>13.836535847774382</v>
      </c>
      <c r="D742" s="3">
        <f>B109^4*CURVAS!$B$6+B109^3*CURVAS!$C$6+B109^2*CURVAS!$D$6+B109^1*CURVAS!$E$6+B109^0*CURVAS!$F$6</f>
        <v>13.545610440500001</v>
      </c>
    </row>
    <row r="743" spans="1:4" ht="15.75" x14ac:dyDescent="0.25">
      <c r="A743" s="21">
        <v>21</v>
      </c>
      <c r="B743" s="1">
        <v>148</v>
      </c>
      <c r="C743" s="3">
        <f t="shared" si="2"/>
        <v>14.355671658724756</v>
      </c>
      <c r="D743" s="3">
        <f>B110^4*CURVAS!$B$6+B110^3*CURVAS!$C$6+B110^2*CURVAS!$D$6+B110^1*CURVAS!$E$6+B110^0*CURVAS!$F$6</f>
        <v>13.731016608000001</v>
      </c>
    </row>
    <row r="744" spans="1:4" ht="15.75" x14ac:dyDescent="0.25">
      <c r="A744" s="21">
        <v>21</v>
      </c>
      <c r="B744" s="1">
        <v>149</v>
      </c>
      <c r="C744" s="3">
        <f t="shared" si="2"/>
        <v>14.421052631578949</v>
      </c>
      <c r="D744" s="3">
        <f>B111^4*CURVAS!$B$6+B111^3*CURVAS!$C$6+B111^2*CURVAS!$D$6+B111^1*CURVAS!$E$6+B111^0*CURVAS!$F$6</f>
        <v>13.918350200500001</v>
      </c>
    </row>
    <row r="745" spans="1:4" ht="15.75" x14ac:dyDescent="0.25">
      <c r="A745" s="21">
        <v>21</v>
      </c>
      <c r="B745" s="1">
        <v>150</v>
      </c>
      <c r="C745" s="3">
        <f t="shared" si="2"/>
        <v>14.486721563460693</v>
      </c>
      <c r="D745" s="3">
        <f>B112^4*CURVAS!$B$6+B112^3*CURVAS!$C$6+B112^2*CURVAS!$D$6+B112^1*CURVAS!$E$6+B112^0*CURVAS!$F$6</f>
        <v>14.107625000000001</v>
      </c>
    </row>
    <row r="746" spans="1:4" ht="15.75" x14ac:dyDescent="0.25">
      <c r="A746" s="21">
        <v>21</v>
      </c>
      <c r="B746" s="1">
        <v>151</v>
      </c>
      <c r="C746" s="3">
        <f t="shared" si="2"/>
        <v>14.583817355174139</v>
      </c>
      <c r="D746" s="3">
        <f>B113^4*CURVAS!$B$6+B113^3*CURVAS!$C$6+B113^2*CURVAS!$D$6+B113^1*CURVAS!$E$6+B113^0*CURVAS!$F$6</f>
        <v>14.298854800500001</v>
      </c>
    </row>
    <row r="747" spans="1:4" ht="15.75" x14ac:dyDescent="0.25">
      <c r="A747" s="21">
        <v>21</v>
      </c>
      <c r="B747" s="1">
        <v>152</v>
      </c>
      <c r="C747" s="3">
        <f t="shared" si="2"/>
        <v>15.134953883992623</v>
      </c>
      <c r="D747" s="3">
        <f>B114^4*CURVAS!$B$6+B114^3*CURVAS!$C$6+B114^2*CURVAS!$D$6+B114^1*CURVAS!$E$6+B114^0*CURVAS!$F$6</f>
        <v>14.492053408</v>
      </c>
    </row>
    <row r="748" spans="1:4" ht="15.75" x14ac:dyDescent="0.25">
      <c r="A748" s="21">
        <v>21</v>
      </c>
      <c r="B748" s="1">
        <v>153</v>
      </c>
      <c r="C748" s="3">
        <f t="shared" si="2"/>
        <v>15.23215968639558</v>
      </c>
      <c r="D748" s="3">
        <f>B115^4*CURVAS!$B$6+B115^3*CURVAS!$C$6+B115^2*CURVAS!$D$6+B115^1*CURVAS!$E$6+B115^0*CURVAS!$F$6</f>
        <v>14.687234640500002</v>
      </c>
    </row>
    <row r="749" spans="1:4" ht="15.75" x14ac:dyDescent="0.25">
      <c r="A749" s="21">
        <v>21</v>
      </c>
      <c r="B749" s="1">
        <v>154</v>
      </c>
      <c r="C749" s="3">
        <f t="shared" si="2"/>
        <v>15.29753843686732</v>
      </c>
      <c r="D749" s="3">
        <f>B116^4*CURVAS!$B$6+B116^3*CURVAS!$C$6+B116^2*CURVAS!$D$6+B116^1*CURVAS!$E$6+B116^0*CURVAS!$F$6</f>
        <v>14.884412328</v>
      </c>
    </row>
    <row r="750" spans="1:4" ht="15.75" x14ac:dyDescent="0.25">
      <c r="A750" s="21">
        <v>21</v>
      </c>
      <c r="B750" s="1">
        <v>155</v>
      </c>
      <c r="C750" s="3">
        <f t="shared" si="2"/>
        <v>15.363047630299089</v>
      </c>
      <c r="D750" s="3">
        <f>B117^4*CURVAS!$B$6+B117^3*CURVAS!$C$6+B117^2*CURVAS!$D$6+B117^1*CURVAS!$E$6+B117^0*CURVAS!$F$6</f>
        <v>15.0836003125</v>
      </c>
    </row>
    <row r="751" spans="1:4" ht="15.75" x14ac:dyDescent="0.25">
      <c r="A751" s="21">
        <v>21</v>
      </c>
      <c r="B751" s="1">
        <v>156</v>
      </c>
      <c r="C751" s="3">
        <f t="shared" si="2"/>
        <v>15.914453703703703</v>
      </c>
      <c r="D751" s="3">
        <f>B118^4*CURVAS!$B$6+B118^3*CURVAS!$C$6+B118^2*CURVAS!$D$6+B118^1*CURVAS!$E$6+B118^0*CURVAS!$F$6</f>
        <v>15.284812448</v>
      </c>
    </row>
    <row r="752" spans="1:4" ht="15.75" x14ac:dyDescent="0.25">
      <c r="A752" s="21">
        <v>21</v>
      </c>
      <c r="B752" s="1">
        <v>157</v>
      </c>
      <c r="C752" s="3">
        <f t="shared" si="2"/>
        <v>16.011667615253273</v>
      </c>
      <c r="D752" s="3">
        <f>B119^4*CURVAS!$B$6+B119^3*CURVAS!$C$6+B119^2*CURVAS!$D$6+B119^1*CURVAS!$E$6+B119^0*CURVAS!$F$6</f>
        <v>15.488062600499999</v>
      </c>
    </row>
    <row r="753" spans="1:4" ht="15.75" x14ac:dyDescent="0.25">
      <c r="A753" s="21">
        <v>21</v>
      </c>
      <c r="B753" s="1">
        <v>158</v>
      </c>
      <c r="C753" s="3">
        <f t="shared" si="2"/>
        <v>16.07693458316713</v>
      </c>
      <c r="D753" s="3">
        <f>B120^4*CURVAS!$B$6+B120^3*CURVAS!$C$6+B120^2*CURVAS!$D$6+B120^1*CURVAS!$E$6+B120^0*CURVAS!$F$6</f>
        <v>15.693364648000001</v>
      </c>
    </row>
    <row r="754" spans="1:4" ht="15.75" x14ac:dyDescent="0.25">
      <c r="A754" s="21">
        <v>21</v>
      </c>
      <c r="B754" s="1">
        <v>159</v>
      </c>
      <c r="C754" s="3">
        <f t="shared" si="2"/>
        <v>16.303314097724087</v>
      </c>
      <c r="D754" s="3">
        <f>B121^4*CURVAS!$B$6+B121^3*CURVAS!$C$6+B121^2*CURVAS!$D$6+B121^1*CURVAS!$E$6+B121^0*CURVAS!$F$6</f>
        <v>15.9007324805</v>
      </c>
    </row>
    <row r="755" spans="1:4" ht="15.75" x14ac:dyDescent="0.25">
      <c r="A755" s="21">
        <v>21</v>
      </c>
      <c r="B755" s="1">
        <v>160</v>
      </c>
      <c r="C755" s="3">
        <f t="shared" si="2"/>
        <v>16.855139355101208</v>
      </c>
      <c r="D755" s="3">
        <f>B122^4*CURVAS!$B$6+B122^3*CURVAS!$C$6+B122^2*CURVAS!$D$6+B122^1*CURVAS!$E$6+B122^0*CURVAS!$F$6</f>
        <v>16.110180000000003</v>
      </c>
    </row>
    <row r="756" spans="1:4" ht="15.75" x14ac:dyDescent="0.25">
      <c r="A756" s="21">
        <v>21</v>
      </c>
      <c r="B756" s="1">
        <v>161</v>
      </c>
      <c r="C756" s="3">
        <f t="shared" si="2"/>
        <v>16.920378894003068</v>
      </c>
      <c r="D756" s="3">
        <f>B123^4*CURVAS!$B$6+B123^3*CURVAS!$C$6+B123^2*CURVAS!$D$6+B123^1*CURVAS!$E$6+B123^0*CURVAS!$F$6</f>
        <v>16.321721120500001</v>
      </c>
    </row>
    <row r="757" spans="1:4" ht="15.75" x14ac:dyDescent="0.25">
      <c r="A757" s="21">
        <v>21</v>
      </c>
      <c r="B757" s="1">
        <v>162</v>
      </c>
      <c r="C757" s="3">
        <f t="shared" si="2"/>
        <v>17.147608695652174</v>
      </c>
      <c r="D757" s="3">
        <f>B124^4*CURVAS!$B$6+B124^3*CURVAS!$C$6+B124^2*CURVAS!$D$6+B124^1*CURVAS!$E$6+B124^0*CURVAS!$F$6</f>
        <v>16.535369767999999</v>
      </c>
    </row>
    <row r="758" spans="1:4" ht="15.75" x14ac:dyDescent="0.25">
      <c r="A758" s="21">
        <v>21</v>
      </c>
      <c r="B758" s="1">
        <v>163</v>
      </c>
      <c r="C758" s="3">
        <f t="shared" si="2"/>
        <v>17.21243449532923</v>
      </c>
      <c r="D758" s="3">
        <f>B125^4*CURVAS!$B$6+B125^3*CURVAS!$C$6+B125^2*CURVAS!$D$6+B125^1*CURVAS!$E$6+B125^0*CURVAS!$F$6</f>
        <v>16.751139880499998</v>
      </c>
    </row>
    <row r="759" spans="1:4" ht="15.75" x14ac:dyDescent="0.25">
      <c r="A759" s="21">
        <v>21</v>
      </c>
      <c r="B759" s="1">
        <v>164</v>
      </c>
      <c r="C759" s="3">
        <f t="shared" si="2"/>
        <v>17.732066184137889</v>
      </c>
      <c r="D759" s="3">
        <f>B126^4*CURVAS!$B$6+B126^3*CURVAS!$C$6+B126^2*CURVAS!$D$6+B126^1*CURVAS!$E$6+B126^0*CURVAS!$F$6</f>
        <v>16.969045407999999</v>
      </c>
    </row>
    <row r="760" spans="1:4" ht="15.75" x14ac:dyDescent="0.25">
      <c r="A760" s="21">
        <v>21</v>
      </c>
      <c r="B760" s="1">
        <v>165</v>
      </c>
      <c r="C760" s="3">
        <f t="shared" si="2"/>
        <v>17.797027166333152</v>
      </c>
      <c r="D760" s="3">
        <f>B127^4*CURVAS!$B$6+B127^3*CURVAS!$C$6+B127^2*CURVAS!$D$6+B127^1*CURVAS!$E$6+B127^0*CURVAS!$F$6</f>
        <v>17.189100312499999</v>
      </c>
    </row>
    <row r="761" spans="1:4" ht="15.75" x14ac:dyDescent="0.25">
      <c r="A761" s="21">
        <v>21</v>
      </c>
      <c r="B761" s="1">
        <v>166</v>
      </c>
      <c r="C761" s="3">
        <f t="shared" si="2"/>
        <v>17.862316039284753</v>
      </c>
      <c r="D761" s="3">
        <f>B128^4*CURVAS!$B$6+B128^3*CURVAS!$C$6+B128^2*CURVAS!$D$6+B128^1*CURVAS!$E$6+B128^0*CURVAS!$F$6</f>
        <v>17.411318567999999</v>
      </c>
    </row>
    <row r="762" spans="1:4" ht="15.75" x14ac:dyDescent="0.25">
      <c r="A762" s="21">
        <v>21</v>
      </c>
      <c r="B762" s="1">
        <v>167</v>
      </c>
      <c r="C762" s="3">
        <f t="shared" si="2"/>
        <v>18.056967225161667</v>
      </c>
      <c r="D762" s="3">
        <f>B129^4*CURVAS!$B$6+B129^3*CURVAS!$C$6+B129^2*CURVAS!$D$6+B129^1*CURVAS!$E$6+B129^0*CURVAS!$F$6</f>
        <v>17.635714160500001</v>
      </c>
    </row>
    <row r="763" spans="1:4" ht="15.75" x14ac:dyDescent="0.25">
      <c r="A763" s="21">
        <v>21</v>
      </c>
      <c r="B763" s="1">
        <v>168</v>
      </c>
      <c r="C763" s="3">
        <f t="shared" ref="C763:C826" si="3">C552*(C341/C130+C552/C341)/2</f>
        <v>18.771759440559443</v>
      </c>
      <c r="D763" s="3">
        <f>B130^4*CURVAS!$B$6+B130^3*CURVAS!$C$6+B130^2*CURVAS!$D$6+B130^1*CURVAS!$E$6+B130^0*CURVAS!$F$6</f>
        <v>17.862301087999999</v>
      </c>
    </row>
    <row r="764" spans="1:4" ht="15.75" x14ac:dyDescent="0.25">
      <c r="A764" s="21">
        <v>21</v>
      </c>
      <c r="B764" s="1">
        <v>169</v>
      </c>
      <c r="C764" s="3">
        <f t="shared" si="3"/>
        <v>18.803635285846234</v>
      </c>
      <c r="D764" s="3">
        <f>B131^4*CURVAS!$B$6+B131^3*CURVAS!$C$6+B131^2*CURVAS!$D$6+B131^1*CURVAS!$E$6+B131^0*CURVAS!$F$6</f>
        <v>18.0910933605</v>
      </c>
    </row>
    <row r="765" spans="1:4" ht="15.75" x14ac:dyDescent="0.25">
      <c r="A765" s="21">
        <v>21</v>
      </c>
      <c r="B765" s="1">
        <v>170</v>
      </c>
      <c r="C765" s="3">
        <f t="shared" si="3"/>
        <v>18.868727164065579</v>
      </c>
      <c r="D765" s="3">
        <f>B132^4*CURVAS!$B$6+B132^3*CURVAS!$C$6+B132^2*CURVAS!$D$6+B132^1*CURVAS!$E$6+B132^0*CURVAS!$F$6</f>
        <v>18.322104999999997</v>
      </c>
    </row>
    <row r="766" spans="1:4" ht="15.75" x14ac:dyDescent="0.25">
      <c r="A766" s="21">
        <v>21</v>
      </c>
      <c r="B766" s="1">
        <v>171</v>
      </c>
      <c r="C766" s="3">
        <f t="shared" si="3"/>
        <v>18.933633199860253</v>
      </c>
      <c r="D766" s="3">
        <f>B133^4*CURVAS!$B$6+B133^3*CURVAS!$C$6+B133^2*CURVAS!$D$6+B133^1*CURVAS!$E$6+B133^0*CURVAS!$F$6</f>
        <v>18.555350040500002</v>
      </c>
    </row>
    <row r="767" spans="1:4" ht="15.75" x14ac:dyDescent="0.25">
      <c r="A767" s="21">
        <v>21</v>
      </c>
      <c r="B767" s="1">
        <v>172</v>
      </c>
      <c r="C767" s="3">
        <f t="shared" si="3"/>
        <v>19.583013199933809</v>
      </c>
      <c r="D767" s="3">
        <f>B134^4*CURVAS!$B$6+B134^3*CURVAS!$C$6+B134^2*CURVAS!$D$6+B134^1*CURVAS!$E$6+B134^0*CURVAS!$F$6</f>
        <v>18.790842527999999</v>
      </c>
    </row>
    <row r="768" spans="1:4" ht="15.75" x14ac:dyDescent="0.25">
      <c r="A768" s="21">
        <v>21</v>
      </c>
      <c r="B768" s="1">
        <v>173</v>
      </c>
      <c r="C768" s="3">
        <f t="shared" si="3"/>
        <v>19.7779392387908</v>
      </c>
      <c r="D768" s="3">
        <f>B135^4*CURVAS!$B$6+B135^3*CURVAS!$C$6+B135^2*CURVAS!$D$6+B135^1*CURVAS!$E$6+B135^0*CURVAS!$F$6</f>
        <v>19.028596520499999</v>
      </c>
    </row>
    <row r="769" spans="1:4" ht="15.75" x14ac:dyDescent="0.25">
      <c r="A769" s="21">
        <v>21</v>
      </c>
      <c r="B769" s="1">
        <v>174</v>
      </c>
      <c r="C769" s="3">
        <f t="shared" si="3"/>
        <v>20.005781499202552</v>
      </c>
      <c r="D769" s="3">
        <f>B136^4*CURVAS!$B$6+B136^3*CURVAS!$C$6+B136^2*CURVAS!$D$6+B136^1*CURVAS!$E$6+B136^0*CURVAS!$F$6</f>
        <v>19.268626088000001</v>
      </c>
    </row>
    <row r="770" spans="1:4" ht="15.75" x14ac:dyDescent="0.25">
      <c r="A770" s="21">
        <v>21</v>
      </c>
      <c r="B770" s="1">
        <v>175</v>
      </c>
      <c r="C770" s="3">
        <f t="shared" si="3"/>
        <v>20.070459236326112</v>
      </c>
      <c r="D770" s="3">
        <f>B137^4*CURVAS!$B$6+B137^3*CURVAS!$C$6+B137^2*CURVAS!$D$6+B137^1*CURVAS!$E$6+B137^0*CURVAS!$F$6</f>
        <v>19.510945312500002</v>
      </c>
    </row>
    <row r="771" spans="1:4" ht="15.75" x14ac:dyDescent="0.25">
      <c r="A771" s="21">
        <v>21</v>
      </c>
      <c r="B771" s="1">
        <v>176</v>
      </c>
      <c r="C771" s="3">
        <f t="shared" si="3"/>
        <v>20.687607461476073</v>
      </c>
      <c r="D771" s="3">
        <f>B138^4*CURVAS!$B$6+B138^3*CURVAS!$C$6+B138^2*CURVAS!$D$6+B138^1*CURVAS!$E$6+B138^0*CURVAS!$F$6</f>
        <v>19.755568288000003</v>
      </c>
    </row>
    <row r="772" spans="1:4" ht="15.75" x14ac:dyDescent="0.25">
      <c r="A772" s="21">
        <v>21</v>
      </c>
      <c r="B772" s="1">
        <v>177</v>
      </c>
      <c r="C772" s="3">
        <f t="shared" si="3"/>
        <v>20.752423650162299</v>
      </c>
      <c r="D772" s="3">
        <f>B139^4*CURVAS!$B$6+B139^3*CURVAS!$C$6+B139^2*CURVAS!$D$6+B139^1*CURVAS!$E$6+B139^0*CURVAS!$F$6</f>
        <v>20.002509120500001</v>
      </c>
    </row>
    <row r="773" spans="1:4" ht="15.75" x14ac:dyDescent="0.25">
      <c r="A773" s="21">
        <v>21</v>
      </c>
      <c r="B773" s="1">
        <v>178</v>
      </c>
      <c r="C773" s="3">
        <f t="shared" si="3"/>
        <v>20.947476940078037</v>
      </c>
      <c r="D773" s="3">
        <f>B140^4*CURVAS!$B$6+B140^3*CURVAS!$C$6+B140^2*CURVAS!$D$6+B140^1*CURVAS!$E$6+B140^0*CURVAS!$F$6</f>
        <v>20.251781928</v>
      </c>
    </row>
    <row r="774" spans="1:4" ht="15.75" x14ac:dyDescent="0.25">
      <c r="A774" s="21">
        <v>21</v>
      </c>
      <c r="B774" s="1">
        <v>179</v>
      </c>
      <c r="C774" s="3">
        <f t="shared" si="3"/>
        <v>21.175714285714285</v>
      </c>
      <c r="D774" s="3">
        <f>B141^4*CURVAS!$B$6+B141^3*CURVAS!$C$6+B141^2*CURVAS!$D$6+B141^1*CURVAS!$E$6+B141^0*CURVAS!$F$6</f>
        <v>20.503400840499999</v>
      </c>
    </row>
    <row r="775" spans="1:4" ht="15.75" x14ac:dyDescent="0.25">
      <c r="A775" s="21">
        <v>21</v>
      </c>
      <c r="B775" s="1">
        <v>180</v>
      </c>
      <c r="C775" s="3">
        <f t="shared" si="3"/>
        <v>21.792834824749718</v>
      </c>
      <c r="D775" s="3">
        <f>B142^4*CURVAS!$B$6+B142^3*CURVAS!$C$6+B142^2*CURVAS!$D$6+B142^1*CURVAS!$E$6+B142^0*CURVAS!$F$6</f>
        <v>20.757380000000001</v>
      </c>
    </row>
    <row r="776" spans="1:4" ht="15.75" x14ac:dyDescent="0.25">
      <c r="A776" s="21">
        <v>21</v>
      </c>
      <c r="B776" s="1">
        <v>181</v>
      </c>
      <c r="C776" s="3">
        <f t="shared" si="3"/>
        <v>21.857379859710015</v>
      </c>
      <c r="D776" s="3">
        <f>B143^4*CURVAS!$B$6+B143^3*CURVAS!$C$6+B143^2*CURVAS!$D$6+B143^1*CURVAS!$E$6+B143^0*CURVAS!$F$6</f>
        <v>21.0137335605</v>
      </c>
    </row>
    <row r="777" spans="1:4" ht="15.75" x14ac:dyDescent="0.25">
      <c r="A777" s="21">
        <v>21</v>
      </c>
      <c r="B777" s="1">
        <v>182</v>
      </c>
      <c r="C777" s="3">
        <f t="shared" si="3"/>
        <v>22.085911170455017</v>
      </c>
      <c r="D777" s="3">
        <f>B144^4*CURVAS!$B$6+B144^3*CURVAS!$C$6+B144^2*CURVAS!$D$6+B144^1*CURVAS!$E$6+B144^0*CURVAS!$F$6</f>
        <v>21.272475688</v>
      </c>
    </row>
    <row r="778" spans="1:4" ht="15.75" x14ac:dyDescent="0.25">
      <c r="A778" s="21">
        <v>21</v>
      </c>
      <c r="B778" s="1">
        <v>183</v>
      </c>
      <c r="C778" s="3">
        <f t="shared" si="3"/>
        <v>22.117317508023021</v>
      </c>
      <c r="D778" s="3">
        <f>B145^4*CURVAS!$B$6+B145^3*CURVAS!$C$6+B145^2*CURVAS!$D$6+B145^1*CURVAS!$E$6+B145^0*CURVAS!$F$6</f>
        <v>21.533620560500001</v>
      </c>
    </row>
    <row r="779" spans="1:4" ht="15.75" x14ac:dyDescent="0.25">
      <c r="A779" s="21">
        <v>21</v>
      </c>
      <c r="B779" s="1">
        <v>184</v>
      </c>
      <c r="C779" s="3">
        <f t="shared" si="3"/>
        <v>22.73453073089701</v>
      </c>
      <c r="D779" s="3">
        <f>B146^4*CURVAS!$B$6+B146^3*CURVAS!$C$6+B146^2*CURVAS!$D$6+B146^1*CURVAS!$E$6+B146^0*CURVAS!$F$6</f>
        <v>21.797182367999998</v>
      </c>
    </row>
    <row r="780" spans="1:4" ht="15.75" x14ac:dyDescent="0.25">
      <c r="A780" s="21">
        <v>21</v>
      </c>
      <c r="B780" s="1">
        <v>185</v>
      </c>
      <c r="C780" s="3">
        <f t="shared" si="3"/>
        <v>22.929777847726967</v>
      </c>
      <c r="D780" s="3">
        <f>B147^4*CURVAS!$B$6+B147^3*CURVAS!$C$6+B147^2*CURVAS!$D$6+B147^1*CURVAS!$E$6+B147^0*CURVAS!$F$6</f>
        <v>22.0631753125</v>
      </c>
    </row>
    <row r="781" spans="1:4" ht="15.75" x14ac:dyDescent="0.25">
      <c r="A781" s="21">
        <v>21</v>
      </c>
      <c r="B781" s="1">
        <v>186</v>
      </c>
      <c r="C781" s="3">
        <f t="shared" si="3"/>
        <v>22.994192377495462</v>
      </c>
      <c r="D781" s="3">
        <f>B148^4*CURVAS!$B$6+B148^3*CURVAS!$C$6+B148^2*CURVAS!$D$6+B148^1*CURVAS!$E$6+B148^0*CURVAS!$F$6</f>
        <v>22.331613608000001</v>
      </c>
    </row>
    <row r="782" spans="1:4" ht="15.75" x14ac:dyDescent="0.25">
      <c r="A782" s="21">
        <v>21</v>
      </c>
      <c r="B782" s="1">
        <v>187</v>
      </c>
      <c r="C782" s="3">
        <f t="shared" si="3"/>
        <v>23.189437908496735</v>
      </c>
      <c r="D782" s="3">
        <f>B149^4*CURVAS!$B$6+B149^3*CURVAS!$C$6+B149^2*CURVAS!$D$6+B149^1*CURVAS!$E$6+B149^0*CURVAS!$F$6</f>
        <v>22.602511480500002</v>
      </c>
    </row>
    <row r="783" spans="1:4" ht="15.75" x14ac:dyDescent="0.25">
      <c r="A783" s="21">
        <v>21</v>
      </c>
      <c r="B783" s="1">
        <v>188</v>
      </c>
      <c r="C783" s="3">
        <f t="shared" si="3"/>
        <v>23.937716761727902</v>
      </c>
      <c r="D783" s="3">
        <f>B150^4*CURVAS!$B$6+B150^3*CURVAS!$C$6+B150^2*CURVAS!$D$6+B150^1*CURVAS!$E$6+B150^0*CURVAS!$F$6</f>
        <v>22.875883168000001</v>
      </c>
    </row>
    <row r="784" spans="1:4" ht="15.75" x14ac:dyDescent="0.25">
      <c r="A784" s="21">
        <v>21</v>
      </c>
      <c r="B784" s="1">
        <v>189</v>
      </c>
      <c r="C784" s="3">
        <f t="shared" si="3"/>
        <v>24.099672342576294</v>
      </c>
      <c r="D784" s="3">
        <f>B151^4*CURVAS!$B$6+B151^3*CURVAS!$C$6+B151^2*CURVAS!$D$6+B151^1*CURVAS!$E$6+B151^0*CURVAS!$F$6</f>
        <v>23.151742920500002</v>
      </c>
    </row>
    <row r="785" spans="1:4" ht="15.75" x14ac:dyDescent="0.25">
      <c r="A785" s="21">
        <v>21</v>
      </c>
      <c r="B785" s="1">
        <v>190</v>
      </c>
      <c r="C785" s="3">
        <f t="shared" si="3"/>
        <v>24.295073030417861</v>
      </c>
      <c r="D785" s="3">
        <f>B152^4*CURVAS!$B$6+B152^3*CURVAS!$C$6+B152^2*CURVAS!$D$6+B152^1*CURVAS!$E$6+B152^0*CURVAS!$F$6</f>
        <v>23.430105000000001</v>
      </c>
    </row>
    <row r="786" spans="1:4" ht="15.75" x14ac:dyDescent="0.25">
      <c r="A786" s="21">
        <v>21</v>
      </c>
      <c r="B786" s="1">
        <v>191</v>
      </c>
      <c r="C786" s="3">
        <f t="shared" si="3"/>
        <v>24.523972602739725</v>
      </c>
      <c r="D786" s="3">
        <f>B153^4*CURVAS!$B$6+B153^3*CURVAS!$C$6+B153^2*CURVAS!$D$6+B153^1*CURVAS!$E$6+B153^0*CURVAS!$F$6</f>
        <v>23.7109836805</v>
      </c>
    </row>
    <row r="787" spans="1:4" ht="15.75" x14ac:dyDescent="0.25">
      <c r="A787" s="21">
        <v>21</v>
      </c>
      <c r="B787" s="1">
        <v>192</v>
      </c>
      <c r="C787" s="3">
        <f t="shared" si="3"/>
        <v>24.976869706180349</v>
      </c>
      <c r="D787" s="3">
        <f>B154^4*CURVAS!$B$6+B154^3*CURVAS!$C$6+B154^2*CURVAS!$D$6+B154^1*CURVAS!$E$6+B154^0*CURVAS!$F$6</f>
        <v>23.994393247999998</v>
      </c>
    </row>
    <row r="788" spans="1:4" ht="15.75" x14ac:dyDescent="0.25">
      <c r="A788" s="21">
        <v>21</v>
      </c>
      <c r="B788" s="1">
        <v>193</v>
      </c>
      <c r="C788" s="3">
        <f t="shared" si="3"/>
        <v>25.303335283322781</v>
      </c>
      <c r="D788" s="3">
        <f>B155^4*CURVAS!$B$6+B155^3*CURVAS!$C$6+B155^2*CURVAS!$D$6+B155^1*CURVAS!$E$6+B155^0*CURVAS!$F$6</f>
        <v>24.280348000500002</v>
      </c>
    </row>
    <row r="789" spans="1:4" ht="15.75" x14ac:dyDescent="0.25">
      <c r="A789" s="21">
        <v>21</v>
      </c>
      <c r="B789" s="1">
        <v>194</v>
      </c>
      <c r="C789" s="3">
        <f t="shared" si="3"/>
        <v>25.498809088597135</v>
      </c>
      <c r="D789" s="3">
        <f>B156^4*CURVAS!$B$6+B156^3*CURVAS!$C$6+B156^2*CURVAS!$D$6+B156^1*CURVAS!$E$6+B156^0*CURVAS!$F$6</f>
        <v>24.568862247999999</v>
      </c>
    </row>
    <row r="790" spans="1:4" ht="15.75" x14ac:dyDescent="0.25">
      <c r="A790" s="21">
        <v>21</v>
      </c>
      <c r="B790" s="1">
        <v>195</v>
      </c>
      <c r="C790" s="3">
        <f t="shared" si="3"/>
        <v>25.694517177890077</v>
      </c>
      <c r="D790" s="3">
        <f>B157^4*CURVAS!$B$6+B157^3*CURVAS!$C$6+B157^2*CURVAS!$D$6+B157^1*CURVAS!$E$6+B157^0*CURVAS!$F$6</f>
        <v>24.859950312500001</v>
      </c>
    </row>
    <row r="791" spans="1:4" ht="15.75" x14ac:dyDescent="0.25">
      <c r="A791" s="21">
        <v>21</v>
      </c>
      <c r="B791" s="1">
        <v>196</v>
      </c>
      <c r="C791" s="3">
        <f t="shared" si="3"/>
        <v>26.375892857142855</v>
      </c>
      <c r="D791" s="3">
        <f>B158^4*CURVAS!$B$6+B158^3*CURVAS!$C$6+B158^2*CURVAS!$D$6+B158^1*CURVAS!$E$6+B158^0*CURVAS!$F$6</f>
        <v>25.153626528</v>
      </c>
    </row>
    <row r="792" spans="1:4" ht="15.75" x14ac:dyDescent="0.25">
      <c r="A792" s="21">
        <v>21</v>
      </c>
      <c r="B792" s="1">
        <v>197</v>
      </c>
      <c r="C792" s="3">
        <f t="shared" si="3"/>
        <v>26.571511252604093</v>
      </c>
      <c r="D792" s="3">
        <f>B159^4*CURVAS!$B$6+B159^3*CURVAS!$C$6+B159^2*CURVAS!$D$6+B159^1*CURVAS!$E$6+B159^0*CURVAS!$F$6</f>
        <v>25.449905240500001</v>
      </c>
    </row>
    <row r="793" spans="1:4" ht="15.75" x14ac:dyDescent="0.25">
      <c r="A793" s="21">
        <v>21</v>
      </c>
      <c r="B793" s="1">
        <v>198</v>
      </c>
      <c r="C793" s="3">
        <f t="shared" si="3"/>
        <v>26.602090390572975</v>
      </c>
      <c r="D793" s="3">
        <f>B160^4*CURVAS!$B$6+B160^3*CURVAS!$C$6+B160^2*CURVAS!$D$6+B160^1*CURVAS!$E$6+B160^0*CURVAS!$F$6</f>
        <v>25.748800808000002</v>
      </c>
    </row>
    <row r="794" spans="1:4" ht="15.75" x14ac:dyDescent="0.25">
      <c r="A794" s="21">
        <v>21</v>
      </c>
      <c r="B794" s="1">
        <v>199</v>
      </c>
      <c r="C794" s="3">
        <f t="shared" si="3"/>
        <v>26.831345297918165</v>
      </c>
      <c r="D794" s="3">
        <f>B161^4*CURVAS!$B$6+B161^3*CURVAS!$C$6+B161^2*CURVAS!$D$6+B161^1*CURVAS!$E$6+B161^0*CURVAS!$F$6</f>
        <v>26.050327600500001</v>
      </c>
    </row>
    <row r="795" spans="1:4" ht="15.75" x14ac:dyDescent="0.25">
      <c r="A795" s="21">
        <v>21</v>
      </c>
      <c r="B795" s="1">
        <v>200</v>
      </c>
      <c r="C795" s="3">
        <f t="shared" si="3"/>
        <v>27.610491541544942</v>
      </c>
      <c r="D795" s="3">
        <f>B162^4*CURVAS!$B$6+B162^3*CURVAS!$C$6+B162^2*CURVAS!$D$6+B162^1*CURVAS!$E$6+B162^0*CURVAS!$F$6</f>
        <v>26.354499999999998</v>
      </c>
    </row>
    <row r="796" spans="1:4" ht="15.75" x14ac:dyDescent="0.25">
      <c r="A796" s="21">
        <v>21</v>
      </c>
      <c r="B796" s="1">
        <v>201</v>
      </c>
      <c r="C796" s="3">
        <f t="shared" si="3"/>
        <v>27.772432210078527</v>
      </c>
      <c r="D796" s="3">
        <f>B163^4*CURVAS!$B$6+B163^3*CURVAS!$C$6+B163^2*CURVAS!$D$6+B163^1*CURVAS!$E$6+B163^0*CURVAS!$F$6</f>
        <v>26.661332400499997</v>
      </c>
    </row>
    <row r="797" spans="1:4" ht="15.75" x14ac:dyDescent="0.25">
      <c r="A797" s="21">
        <v>21</v>
      </c>
      <c r="B797" s="1">
        <v>202</v>
      </c>
      <c r="C797" s="3">
        <f t="shared" si="3"/>
        <v>28.00183083824388</v>
      </c>
      <c r="D797" s="3">
        <f>B164^4*CURVAS!$B$6+B164^3*CURVAS!$C$6+B164^2*CURVAS!$D$6+B164^1*CURVAS!$E$6+B164^0*CURVAS!$F$6</f>
        <v>26.970839207999997</v>
      </c>
    </row>
    <row r="798" spans="1:4" ht="15.75" x14ac:dyDescent="0.25">
      <c r="A798" s="21">
        <v>21</v>
      </c>
      <c r="B798" s="1">
        <v>203</v>
      </c>
      <c r="C798" s="3">
        <f t="shared" si="3"/>
        <v>28.065858798735512</v>
      </c>
      <c r="D798" s="3">
        <f>B165^4*CURVAS!$B$6+B165^3*CURVAS!$C$6+B165^2*CURVAS!$D$6+B165^1*CURVAS!$E$6+B165^0*CURVAS!$F$6</f>
        <v>27.283034840500001</v>
      </c>
    </row>
    <row r="799" spans="1:4" ht="15.75" x14ac:dyDescent="0.25">
      <c r="A799" s="21">
        <v>21</v>
      </c>
      <c r="B799" s="1">
        <v>204</v>
      </c>
      <c r="C799" s="3">
        <f t="shared" si="3"/>
        <v>28.912767136150233</v>
      </c>
      <c r="D799" s="3">
        <f>B166^4*CURVAS!$B$6+B166^3*CURVAS!$C$6+B166^2*CURVAS!$D$6+B166^1*CURVAS!$E$6+B166^0*CURVAS!$F$6</f>
        <v>27.597933728000001</v>
      </c>
    </row>
    <row r="800" spans="1:4" ht="15.75" x14ac:dyDescent="0.25">
      <c r="A800" s="21">
        <v>21</v>
      </c>
      <c r="B800" s="1">
        <v>205</v>
      </c>
      <c r="C800" s="3">
        <f t="shared" si="3"/>
        <v>29.074575998713932</v>
      </c>
      <c r="D800" s="3">
        <f>B167^4*CURVAS!$B$6+B167^3*CURVAS!$C$6+B167^2*CURVAS!$D$6+B167^1*CURVAS!$E$6+B167^0*CURVAS!$F$6</f>
        <v>27.915550312499999</v>
      </c>
    </row>
    <row r="801" spans="1:4" ht="15.75" x14ac:dyDescent="0.25">
      <c r="A801" s="21">
        <v>21</v>
      </c>
      <c r="B801" s="1">
        <v>206</v>
      </c>
      <c r="C801" s="3">
        <f t="shared" si="3"/>
        <v>29.138640579373003</v>
      </c>
      <c r="D801" s="3">
        <f>B168^4*CURVAS!$B$6+B168^3*CURVAS!$C$6+B168^2*CURVAS!$D$6+B168^1*CURVAS!$E$6+B168^0*CURVAS!$F$6</f>
        <v>28.235899048000004</v>
      </c>
    </row>
    <row r="802" spans="1:4" ht="15.75" x14ac:dyDescent="0.25">
      <c r="A802" s="21">
        <v>21</v>
      </c>
      <c r="B802" s="1">
        <v>207</v>
      </c>
      <c r="C802" s="3">
        <f t="shared" si="3"/>
        <v>29.466142944603057</v>
      </c>
      <c r="D802" s="3">
        <f>B169^4*CURVAS!$B$6+B169^3*CURVAS!$C$6+B169^2*CURVAS!$D$6+B169^1*CURVAS!$E$6+B169^0*CURVAS!$F$6</f>
        <v>28.558994400500001</v>
      </c>
    </row>
    <row r="803" spans="1:4" ht="15.75" x14ac:dyDescent="0.25">
      <c r="A803" s="21">
        <v>21</v>
      </c>
      <c r="B803" s="1">
        <v>208</v>
      </c>
      <c r="C803" s="3">
        <f t="shared" si="3"/>
        <v>30.245338225177711</v>
      </c>
      <c r="D803" s="3">
        <f>B170^4*CURVAS!$B$6+B170^3*CURVAS!$C$6+B170^2*CURVAS!$D$6+B170^1*CURVAS!$E$6+B170^0*CURVAS!$F$6</f>
        <v>28.884850847999996</v>
      </c>
    </row>
    <row r="804" spans="1:4" ht="15.75" x14ac:dyDescent="0.25">
      <c r="A804" s="21">
        <v>21</v>
      </c>
      <c r="B804" s="1">
        <v>209</v>
      </c>
      <c r="C804" s="3">
        <f t="shared" si="3"/>
        <v>30.441155361746105</v>
      </c>
      <c r="D804" s="3">
        <f>B171^4*CURVAS!$B$6+B171^3*CURVAS!$C$6+B171^2*CURVAS!$D$6+B171^1*CURVAS!$E$6+B171^0*CURVAS!$F$6</f>
        <v>29.213482880500003</v>
      </c>
    </row>
    <row r="805" spans="1:4" ht="15.75" x14ac:dyDescent="0.25">
      <c r="A805" s="21">
        <v>21</v>
      </c>
      <c r="B805" s="1">
        <v>210</v>
      </c>
      <c r="C805" s="3">
        <f t="shared" si="3"/>
        <v>30.637248180956277</v>
      </c>
      <c r="D805" s="3">
        <f>B172^4*CURVAS!$B$6+B172^3*CURVAS!$C$6+B172^2*CURVAS!$D$6+B172^1*CURVAS!$E$6+B172^0*CURVAS!$F$6</f>
        <v>29.544904999999996</v>
      </c>
    </row>
    <row r="806" spans="1:4" ht="15.75" x14ac:dyDescent="0.25">
      <c r="A806" s="21">
        <v>21</v>
      </c>
      <c r="B806" s="1">
        <v>211</v>
      </c>
      <c r="C806" s="3">
        <f t="shared" si="3"/>
        <v>30.832906216225247</v>
      </c>
      <c r="D806" s="3">
        <f>B173^4*CURVAS!$B$6+B173^3*CURVAS!$C$6+B173^2*CURVAS!$D$6+B173^1*CURVAS!$E$6+B173^0*CURVAS!$F$6</f>
        <v>29.879131720500002</v>
      </c>
    </row>
    <row r="807" spans="1:4" ht="15.75" x14ac:dyDescent="0.25">
      <c r="A807" s="21">
        <v>21</v>
      </c>
      <c r="B807" s="1">
        <v>212</v>
      </c>
      <c r="C807" s="3">
        <f t="shared" si="3"/>
        <v>31.612443502080808</v>
      </c>
      <c r="D807" s="3">
        <f>B174^4*CURVAS!$B$6+B174^3*CURVAS!$C$6+B174^2*CURVAS!$D$6+B174^1*CURVAS!$E$6+B174^0*CURVAS!$F$6</f>
        <v>30.216177567999996</v>
      </c>
    </row>
    <row r="808" spans="1:4" ht="15.75" x14ac:dyDescent="0.25">
      <c r="A808" s="21">
        <v>21</v>
      </c>
      <c r="B808" s="1">
        <v>213</v>
      </c>
      <c r="C808" s="3">
        <f t="shared" si="3"/>
        <v>31.906307350175108</v>
      </c>
      <c r="D808" s="3">
        <f>B175^4*CURVAS!$B$6+B175^3*CURVAS!$C$6+B175^2*CURVAS!$D$6+B175^1*CURVAS!$E$6+B175^0*CURVAS!$F$6</f>
        <v>30.5560570805</v>
      </c>
    </row>
    <row r="809" spans="1:4" ht="15.75" x14ac:dyDescent="0.25">
      <c r="A809" s="21">
        <v>21</v>
      </c>
      <c r="B809" s="1">
        <v>214</v>
      </c>
      <c r="C809" s="3">
        <f t="shared" si="3"/>
        <v>32.067604008940805</v>
      </c>
      <c r="D809" s="3">
        <f>B176^4*CURVAS!$B$6+B176^3*CURVAS!$C$6+B176^2*CURVAS!$D$6+B176^1*CURVAS!$E$6+B176^0*CURVAS!$F$6</f>
        <v>30.898784807999998</v>
      </c>
    </row>
    <row r="810" spans="1:4" ht="15.75" x14ac:dyDescent="0.25">
      <c r="A810" s="21">
        <v>21</v>
      </c>
      <c r="B810" s="1">
        <v>215</v>
      </c>
      <c r="C810" s="3">
        <f t="shared" si="3"/>
        <v>32.131516158337412</v>
      </c>
      <c r="D810" s="3">
        <f>B177^4*CURVAS!$B$6+B177^3*CURVAS!$C$6+B177^2*CURVAS!$D$6+B177^1*CURVAS!$E$6+B177^0*CURVAS!$F$6</f>
        <v>31.244375312499997</v>
      </c>
    </row>
    <row r="811" spans="1:4" ht="15.75" x14ac:dyDescent="0.25">
      <c r="A811" s="21">
        <v>21</v>
      </c>
      <c r="B811" s="1">
        <v>216</v>
      </c>
      <c r="C811" s="3">
        <f t="shared" si="3"/>
        <v>33.042548770886185</v>
      </c>
      <c r="D811" s="3">
        <f>B178^4*CURVAS!$B$6+B178^3*CURVAS!$C$6+B178^2*CURVAS!$D$6+B178^1*CURVAS!$E$6+B178^0*CURVAS!$F$6</f>
        <v>31.592843168000002</v>
      </c>
    </row>
    <row r="812" spans="1:4" ht="15.75" x14ac:dyDescent="0.25">
      <c r="A812" s="21">
        <v>21</v>
      </c>
      <c r="B812" s="1">
        <v>217</v>
      </c>
      <c r="C812" s="3">
        <f t="shared" si="3"/>
        <v>33.238656669790693</v>
      </c>
      <c r="D812" s="3">
        <f>B179^4*CURVAS!$B$6+B179^3*CURVAS!$C$6+B179^2*CURVAS!$D$6+B179^1*CURVAS!$E$6+B179^0*CURVAS!$F$6</f>
        <v>31.9442029605</v>
      </c>
    </row>
    <row r="813" spans="1:4" ht="15.75" x14ac:dyDescent="0.25">
      <c r="A813" s="21">
        <v>21</v>
      </c>
      <c r="B813" s="1">
        <v>218</v>
      </c>
      <c r="C813" s="3">
        <f t="shared" si="3"/>
        <v>33.434633653649172</v>
      </c>
      <c r="D813" s="3">
        <f>B180^4*CURVAS!$B$6+B180^3*CURVAS!$C$6+B180^2*CURVAS!$D$6+B180^1*CURVAS!$E$6+B180^0*CURVAS!$F$6</f>
        <v>32.298469288</v>
      </c>
    </row>
    <row r="814" spans="1:4" ht="15.75" x14ac:dyDescent="0.25">
      <c r="A814" s="21">
        <v>21</v>
      </c>
      <c r="B814" s="1">
        <v>219</v>
      </c>
      <c r="C814" s="3">
        <f t="shared" si="3"/>
        <v>33.596219776594246</v>
      </c>
      <c r="D814" s="3">
        <f>B181^4*CURVAS!$B$6+B181^3*CURVAS!$C$6+B181^2*CURVAS!$D$6+B181^1*CURVAS!$E$6+B181^0*CURVAS!$F$6</f>
        <v>32.655656760499994</v>
      </c>
    </row>
    <row r="815" spans="1:4" ht="15.75" x14ac:dyDescent="0.25">
      <c r="A815" s="21">
        <v>21</v>
      </c>
      <c r="B815" s="1">
        <v>220</v>
      </c>
      <c r="C815" s="3">
        <f t="shared" si="3"/>
        <v>34.640119969559969</v>
      </c>
      <c r="D815" s="3">
        <f>B182^4*CURVAS!$B$6+B182^3*CURVAS!$C$6+B182^2*CURVAS!$D$6+B182^1*CURVAS!$E$6+B182^0*CURVAS!$F$6</f>
        <v>33.015779999999999</v>
      </c>
    </row>
    <row r="816" spans="1:4" ht="15.75" x14ac:dyDescent="0.25">
      <c r="A816" s="21">
        <v>21</v>
      </c>
      <c r="B816" s="1">
        <v>221</v>
      </c>
      <c r="C816" s="3">
        <f t="shared" si="3"/>
        <v>34.767170243432275</v>
      </c>
      <c r="D816" s="3">
        <f>B183^4*CURVAS!$B$6+B183^3*CURVAS!$C$6+B183^2*CURVAS!$D$6+B183^1*CURVAS!$E$6+B183^0*CURVAS!$F$6</f>
        <v>33.378853640499997</v>
      </c>
    </row>
    <row r="817" spans="1:4" ht="15.75" x14ac:dyDescent="0.25">
      <c r="A817" s="21">
        <v>21</v>
      </c>
      <c r="B817" s="1">
        <v>222</v>
      </c>
      <c r="C817" s="3">
        <f t="shared" si="3"/>
        <v>35.026897899471599</v>
      </c>
      <c r="D817" s="3">
        <f>B184^4*CURVAS!$B$6+B184^3*CURVAS!$C$6+B184^2*CURVAS!$D$6+B184^1*CURVAS!$E$6+B184^0*CURVAS!$F$6</f>
        <v>33.744892327999999</v>
      </c>
    </row>
    <row r="818" spans="1:4" ht="15.75" x14ac:dyDescent="0.25">
      <c r="A818" s="21">
        <v>21</v>
      </c>
      <c r="B818" s="1">
        <v>223</v>
      </c>
      <c r="C818" s="3">
        <f t="shared" si="3"/>
        <v>34.954636122999702</v>
      </c>
      <c r="D818" s="3">
        <f>B185^4*CURVAS!$B$6+B185^3*CURVAS!$C$6+B185^2*CURVAS!$D$6+B185^1*CURVAS!$E$6+B185^0*CURVAS!$F$6</f>
        <v>34.113910720499995</v>
      </c>
    </row>
    <row r="819" spans="1:4" ht="15.75" x14ac:dyDescent="0.25">
      <c r="A819" s="21">
        <v>21</v>
      </c>
      <c r="B819" s="1">
        <v>224</v>
      </c>
      <c r="C819" s="3">
        <f t="shared" si="3"/>
        <v>36.406232347566039</v>
      </c>
      <c r="D819" s="3">
        <f>B186^4*CURVAS!$B$6+B186^3*CURVAS!$C$6+B186^2*CURVAS!$D$6+B186^1*CURVAS!$E$6+B186^0*CURVAS!$F$6</f>
        <v>34.485923487999997</v>
      </c>
    </row>
    <row r="820" spans="1:4" ht="15.75" x14ac:dyDescent="0.25">
      <c r="A820" s="21">
        <v>21</v>
      </c>
      <c r="B820" s="1">
        <v>225</v>
      </c>
      <c r="C820" s="3">
        <f t="shared" si="3"/>
        <v>36.595881541800615</v>
      </c>
      <c r="D820" s="3">
        <f>B187^4*CURVAS!$B$6+B187^3*CURVAS!$C$6+B187^2*CURVAS!$D$6+B187^1*CURVAS!$E$6+B187^0*CURVAS!$F$6</f>
        <v>34.8609453125</v>
      </c>
    </row>
    <row r="821" spans="1:4" ht="15.75" x14ac:dyDescent="0.25">
      <c r="A821" s="21">
        <v>21</v>
      </c>
      <c r="B821" s="1">
        <v>226</v>
      </c>
      <c r="C821" s="3">
        <f t="shared" si="3"/>
        <v>36.62466858255307</v>
      </c>
      <c r="D821" s="3">
        <f>B188^4*CURVAS!$B$6+B188^3*CURVAS!$C$6+B188^2*CURVAS!$D$6+B188^1*CURVAS!$E$6+B188^0*CURVAS!$F$6</f>
        <v>35.238990887999996</v>
      </c>
    </row>
    <row r="822" spans="1:4" ht="15.75" x14ac:dyDescent="0.25">
      <c r="A822" s="21">
        <v>21</v>
      </c>
      <c r="B822" s="1">
        <v>227</v>
      </c>
      <c r="C822" s="3">
        <f t="shared" si="3"/>
        <v>36.78616285937774</v>
      </c>
      <c r="D822" s="3">
        <f>B189^4*CURVAS!$B$6+B189^3*CURVAS!$C$6+B189^2*CURVAS!$D$6+B189^1*CURVAS!$E$6+B189^0*CURVAS!$F$6</f>
        <v>35.620074920499995</v>
      </c>
    </row>
    <row r="823" spans="1:4" ht="15.75" x14ac:dyDescent="0.25">
      <c r="A823" s="21">
        <v>21</v>
      </c>
      <c r="B823" s="1">
        <v>228</v>
      </c>
      <c r="C823" s="3">
        <f t="shared" si="3"/>
        <v>37.628643096034402</v>
      </c>
      <c r="D823" s="3">
        <f>B190^4*CURVAS!$B$6+B190^3*CURVAS!$C$6+B190^2*CURVAS!$D$6+B190^1*CURVAS!$E$6+B190^0*CURVAS!$F$6</f>
        <v>36.004212127999999</v>
      </c>
    </row>
    <row r="824" spans="1:4" ht="15.75" x14ac:dyDescent="0.25">
      <c r="A824" s="21">
        <v>21</v>
      </c>
      <c r="B824" s="1">
        <v>229</v>
      </c>
      <c r="C824" s="3">
        <f t="shared" si="3"/>
        <v>37.922752520984737</v>
      </c>
      <c r="D824" s="3">
        <f>B191^4*CURVAS!$B$6+B191^3*CURVAS!$C$6+B191^2*CURVAS!$D$6+B191^1*CURVAS!$E$6+B191^0*CURVAS!$F$6</f>
        <v>36.391417240499997</v>
      </c>
    </row>
    <row r="825" spans="1:4" ht="15.75" x14ac:dyDescent="0.25">
      <c r="A825" s="21">
        <v>21</v>
      </c>
      <c r="B825" s="1">
        <v>230</v>
      </c>
      <c r="C825" s="3">
        <f t="shared" si="3"/>
        <v>38.084380672856597</v>
      </c>
      <c r="D825" s="3">
        <f>B192^4*CURVAS!$B$6+B192^3*CURVAS!$C$6+B192^2*CURVAS!$D$6+B192^1*CURVAS!$E$6+B192^0*CURVAS!$F$6</f>
        <v>36.781704999999995</v>
      </c>
    </row>
    <row r="826" spans="1:4" ht="15.75" x14ac:dyDescent="0.25">
      <c r="A826" s="21">
        <v>21</v>
      </c>
      <c r="B826" s="1">
        <v>231</v>
      </c>
      <c r="C826" s="3">
        <f t="shared" si="3"/>
        <v>38.315074916042363</v>
      </c>
      <c r="D826" s="3">
        <f>B193^4*CURVAS!$B$6+B193^3*CURVAS!$C$6+B193^2*CURVAS!$D$6+B193^1*CURVAS!$E$6+B193^0*CURVAS!$F$6</f>
        <v>37.175090160499998</v>
      </c>
    </row>
    <row r="827" spans="1:4" ht="15.75" x14ac:dyDescent="0.25">
      <c r="A827" s="21">
        <v>21</v>
      </c>
      <c r="B827" s="1">
        <v>232</v>
      </c>
      <c r="C827" s="3">
        <f t="shared" ref="C827:C845" si="4">C616*(C405/C194+C616/C405)/2</f>
        <v>39.422900110317109</v>
      </c>
      <c r="D827" s="3">
        <f>B194^4*CURVAS!$B$6+B194^3*CURVAS!$C$6+B194^2*CURVAS!$D$6+B194^1*CURVAS!$E$6+B194^0*CURVAS!$F$6</f>
        <v>37.571587487999992</v>
      </c>
    </row>
    <row r="828" spans="1:4" ht="15.75" x14ac:dyDescent="0.25">
      <c r="A828" s="21">
        <v>21</v>
      </c>
      <c r="B828" s="1">
        <v>233</v>
      </c>
      <c r="C828" s="3">
        <f t="shared" si="4"/>
        <v>39.654359655959475</v>
      </c>
      <c r="D828" s="3">
        <f>B195^4*CURVAS!$B$6+B195^3*CURVAS!$C$6+B195^2*CURVAS!$D$6+B195^1*CURVAS!$E$6+B195^0*CURVAS!$F$6</f>
        <v>37.971211760499997</v>
      </c>
    </row>
    <row r="829" spans="1:4" ht="15.75" x14ac:dyDescent="0.25">
      <c r="A829" s="21">
        <v>21</v>
      </c>
      <c r="B829" s="1">
        <v>234</v>
      </c>
      <c r="C829" s="3">
        <f t="shared" si="4"/>
        <v>39.746479314238783</v>
      </c>
      <c r="D829" s="3">
        <f>B196^4*CURVAS!$B$6+B196^3*CURVAS!$C$6+B196^2*CURVAS!$D$6+B196^1*CURVAS!$E$6+B196^0*CURVAS!$F$6</f>
        <v>38.373977767999996</v>
      </c>
    </row>
    <row r="830" spans="1:4" ht="15.75" x14ac:dyDescent="0.25">
      <c r="A830" s="21">
        <v>21</v>
      </c>
      <c r="B830" s="1">
        <v>235</v>
      </c>
      <c r="C830" s="3">
        <f t="shared" si="4"/>
        <v>39.910440891472867</v>
      </c>
      <c r="D830" s="3">
        <f>B197^4*CURVAS!$B$6+B197^3*CURVAS!$C$6+B197^2*CURVAS!$D$6+B197^1*CURVAS!$E$6+B197^0*CURVAS!$F$6</f>
        <v>38.779900312499997</v>
      </c>
    </row>
    <row r="831" spans="1:4" ht="15.75" x14ac:dyDescent="0.25">
      <c r="A831" s="21">
        <v>21</v>
      </c>
      <c r="B831" s="1">
        <v>236</v>
      </c>
      <c r="C831" s="3">
        <f t="shared" si="4"/>
        <v>41.015793676662312</v>
      </c>
      <c r="D831" s="3">
        <f>B198^4*CURVAS!$B$6+B198^3*CURVAS!$C$6+B198^2*CURVAS!$D$6+B198^1*CURVAS!$E$6+B198^0*CURVAS!$F$6</f>
        <v>39.18899420799999</v>
      </c>
    </row>
    <row r="832" spans="1:4" ht="15.75" x14ac:dyDescent="0.25">
      <c r="A832" s="21">
        <v>21</v>
      </c>
      <c r="B832" s="1">
        <v>237</v>
      </c>
      <c r="C832" s="3">
        <f t="shared" si="4"/>
        <v>41.344570188058782</v>
      </c>
      <c r="D832" s="3">
        <f>B199^4*CURVAS!$B$6+B199^3*CURVAS!$C$6+B199^2*CURVAS!$D$6+B199^1*CURVAS!$E$6+B199^0*CURVAS!$F$6</f>
        <v>39.601274280499993</v>
      </c>
    </row>
    <row r="833" spans="1:4" ht="15.75" x14ac:dyDescent="0.25">
      <c r="A833" s="21">
        <v>21</v>
      </c>
      <c r="B833" s="1">
        <v>238</v>
      </c>
      <c r="C833" s="3">
        <f t="shared" si="4"/>
        <v>41.639088179695314</v>
      </c>
      <c r="D833" s="3">
        <f>B200^4*CURVAS!$B$6+B200^3*CURVAS!$C$6+B200^2*CURVAS!$D$6+B200^1*CURVAS!$E$6+B200^0*CURVAS!$F$6</f>
        <v>40.016755367999991</v>
      </c>
    </row>
    <row r="834" spans="1:4" ht="15.75" x14ac:dyDescent="0.25">
      <c r="A834" s="21">
        <v>21</v>
      </c>
      <c r="B834" s="1">
        <v>239</v>
      </c>
      <c r="C834" s="3">
        <f t="shared" si="4"/>
        <v>41.800554165514122</v>
      </c>
      <c r="D834" s="3">
        <f>B201^4*CURVAS!$B$6+B201^3*CURVAS!$C$6+B201^2*CURVAS!$D$6+B201^1*CURVAS!$E$6+B201^0*CURVAS!$F$6</f>
        <v>40.435452320499998</v>
      </c>
    </row>
    <row r="835" spans="1:4" ht="15.75" x14ac:dyDescent="0.25">
      <c r="A835" s="21">
        <v>21</v>
      </c>
      <c r="B835" s="1">
        <v>240</v>
      </c>
      <c r="C835" s="3">
        <f t="shared" si="4"/>
        <v>42.909049773755655</v>
      </c>
      <c r="D835" s="3">
        <f>B202^4*CURVAS!$B$6+B202^3*CURVAS!$C$6+B202^2*CURVAS!$D$6+B202^1*CURVAS!$E$6+B202^0*CURVAS!$F$6</f>
        <v>40.857379999999999</v>
      </c>
    </row>
    <row r="836" spans="1:4" ht="15.75" x14ac:dyDescent="0.25">
      <c r="A836" s="21">
        <v>21</v>
      </c>
      <c r="B836" s="1">
        <v>241</v>
      </c>
      <c r="C836" s="3">
        <f t="shared" si="4"/>
        <v>43.070602869963125</v>
      </c>
      <c r="D836" s="3">
        <f>B203^4*CURVAS!$B$6+B203^3*CURVAS!$C$6+B203^2*CURVAS!$D$6+B203^1*CURVAS!$E$6+B203^0*CURVAS!$F$6</f>
        <v>41.282553280499997</v>
      </c>
    </row>
    <row r="837" spans="1:4" ht="15.75" x14ac:dyDescent="0.25">
      <c r="A837" s="21">
        <v>21</v>
      </c>
      <c r="B837" s="1">
        <v>242</v>
      </c>
      <c r="C837" s="3">
        <f t="shared" si="4"/>
        <v>43.232213838469121</v>
      </c>
      <c r="D837" s="3">
        <f>B204^4*CURVAS!$B$6+B204^3*CURVAS!$C$6+B204^2*CURVAS!$D$6+B204^1*CURVAS!$E$6+B204^0*CURVAS!$F$6</f>
        <v>41.710987048</v>
      </c>
    </row>
    <row r="838" spans="1:4" ht="15.75" x14ac:dyDescent="0.25">
      <c r="A838" s="21">
        <v>21</v>
      </c>
      <c r="B838" s="1">
        <v>243</v>
      </c>
      <c r="C838" s="3">
        <f t="shared" si="4"/>
        <v>43.561280114332376</v>
      </c>
      <c r="D838" s="3">
        <f>B205^4*CURVAS!$B$6+B205^3*CURVAS!$C$6+B205^2*CURVAS!$D$6+B205^1*CURVAS!$E$6+B205^0*CURVAS!$F$6</f>
        <v>42.142696200499991</v>
      </c>
    </row>
    <row r="839" spans="1:4" ht="15.75" x14ac:dyDescent="0.25">
      <c r="A839" s="21">
        <v>21</v>
      </c>
      <c r="B839" s="1">
        <v>244</v>
      </c>
      <c r="C839" s="3">
        <f t="shared" si="4"/>
        <v>44.599461748361122</v>
      </c>
      <c r="D839" s="3">
        <f>B206^4*CURVAS!$B$6+B206^3*CURVAS!$C$6+B206^2*CURVAS!$D$6+B206^1*CURVAS!$E$6+B206^0*CURVAS!$F$6</f>
        <v>42.577695647999995</v>
      </c>
    </row>
    <row r="840" spans="1:4" ht="15.75" x14ac:dyDescent="0.25">
      <c r="A840" s="21">
        <v>21</v>
      </c>
      <c r="B840" s="1">
        <v>245</v>
      </c>
      <c r="C840" s="3">
        <f t="shared" si="4"/>
        <v>44.992130281690144</v>
      </c>
      <c r="D840" s="3">
        <f>B207^4*CURVAS!$B$6+B207^3*CURVAS!$C$6+B207^2*CURVAS!$D$6+B207^1*CURVAS!$E$6+B207^0*CURVAS!$F$6</f>
        <v>43.016000312499997</v>
      </c>
    </row>
    <row r="841" spans="1:4" ht="15.75" x14ac:dyDescent="0.25">
      <c r="A841" s="21">
        <v>21</v>
      </c>
      <c r="B841" s="1">
        <v>246</v>
      </c>
      <c r="C841" s="3">
        <f t="shared" si="4"/>
        <v>45.420285311815526</v>
      </c>
      <c r="D841" s="3">
        <f>B208^4*CURVAS!$B$6+B208^3*CURVAS!$C$6+B208^2*CURVAS!$D$6+B208^1*CURVAS!$E$6+B208^0*CURVAS!$F$6</f>
        <v>43.457625127999989</v>
      </c>
    </row>
    <row r="842" spans="1:4" ht="15.75" x14ac:dyDescent="0.25">
      <c r="A842" s="21">
        <v>21</v>
      </c>
      <c r="B842" s="1">
        <v>247</v>
      </c>
      <c r="C842" s="3">
        <f t="shared" si="4"/>
        <v>46.152500000000003</v>
      </c>
      <c r="D842" s="3">
        <f>B209^4*CURVAS!$B$6+B209^3*CURVAS!$C$6+B209^2*CURVAS!$D$6+B209^1*CURVAS!$E$6+B209^0*CURVAS!$F$6</f>
        <v>43.9025850405</v>
      </c>
    </row>
    <row r="843" spans="1:4" ht="15.75" x14ac:dyDescent="0.25">
      <c r="A843" s="21">
        <v>21</v>
      </c>
      <c r="B843" s="1">
        <v>248</v>
      </c>
      <c r="C843" s="3">
        <f t="shared" si="4"/>
        <v>46.157678479712374</v>
      </c>
      <c r="D843" s="3">
        <f>B210^4*CURVAS!$B$6+B210^3*CURVAS!$C$6+B210^2*CURVAS!$D$6+B210^1*CURVAS!$E$6+B210^0*CURVAS!$F$6</f>
        <v>44.350895007999995</v>
      </c>
    </row>
    <row r="844" spans="1:4" ht="15.75" x14ac:dyDescent="0.25">
      <c r="A844" s="21">
        <v>21</v>
      </c>
      <c r="B844" s="1">
        <v>249</v>
      </c>
      <c r="C844" s="3">
        <f t="shared" si="4"/>
        <v>46.851464983082629</v>
      </c>
      <c r="D844" s="3">
        <f>B211^4*CURVAS!$B$6+B211^3*CURVAS!$C$6+B211^2*CURVAS!$D$6+B211^1*CURVAS!$E$6+B211^0*CURVAS!$F$6</f>
        <v>44.80257000049999</v>
      </c>
    </row>
    <row r="845" spans="1:4" ht="15.75" x14ac:dyDescent="0.25">
      <c r="A845" s="21">
        <v>21</v>
      </c>
      <c r="B845" s="1">
        <v>250</v>
      </c>
      <c r="C845" s="3">
        <f t="shared" si="4"/>
        <v>47.005229524645678</v>
      </c>
      <c r="D845" s="3">
        <f>B212^4*CURVAS!$B$6+B212^3*CURVAS!$C$6+B212^2*CURVAS!$D$6+B212^1*CURVAS!$E$6+B212^0*CURVAS!$F$6</f>
        <v>45.257624999999997</v>
      </c>
    </row>
    <row r="849" customFormat="1" hidden="1" x14ac:dyDescent="0.25"/>
    <row r="850" customFormat="1" hidden="1" x14ac:dyDescent="0.25"/>
    <row r="851" customFormat="1" hidden="1" x14ac:dyDescent="0.25"/>
    <row r="852" customFormat="1" hidden="1" x14ac:dyDescent="0.25"/>
    <row r="853" customFormat="1" hidden="1" x14ac:dyDescent="0.25"/>
    <row r="854" customFormat="1" hidden="1" x14ac:dyDescent="0.25"/>
    <row r="855" customFormat="1" hidden="1" x14ac:dyDescent="0.25"/>
    <row r="856" customFormat="1" hidden="1" x14ac:dyDescent="0.25"/>
  </sheetData>
  <sheetProtection sheet="1" objects="1" scenarios="1" selectLockedCells="1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7973-0B46-41D2-84C4-C96D2B899420}">
  <dimension ref="A1:F32"/>
  <sheetViews>
    <sheetView workbookViewId="0">
      <selection activeCell="K5" sqref="K5"/>
    </sheetView>
  </sheetViews>
  <sheetFormatPr defaultColWidth="0" defaultRowHeight="15" zeroHeight="1" x14ac:dyDescent="0.25"/>
  <cols>
    <col min="1" max="12" width="9.140625" customWidth="1"/>
    <col min="13" max="16384" width="9.140625" hidden="1"/>
  </cols>
  <sheetData>
    <row r="1" spans="1:6" ht="15.75" x14ac:dyDescent="0.25">
      <c r="A1" s="39" t="s">
        <v>0</v>
      </c>
      <c r="B1" s="36" t="s">
        <v>2</v>
      </c>
      <c r="C1" s="36"/>
      <c r="D1" s="36"/>
      <c r="E1" s="36"/>
      <c r="F1" s="36"/>
    </row>
    <row r="2" spans="1:6" ht="15.75" x14ac:dyDescent="0.25">
      <c r="A2" s="39"/>
      <c r="B2" s="37">
        <v>4</v>
      </c>
      <c r="C2" s="37">
        <v>3</v>
      </c>
      <c r="D2" s="37">
        <v>2</v>
      </c>
      <c r="E2" s="37">
        <v>1</v>
      </c>
      <c r="F2" s="37">
        <v>0</v>
      </c>
    </row>
    <row r="3" spans="1:6" ht="15.75" x14ac:dyDescent="0.25">
      <c r="A3" s="37">
        <v>18</v>
      </c>
      <c r="B3" s="38">
        <v>3E-9</v>
      </c>
      <c r="C3" s="38">
        <v>7.9999999999999996E-7</v>
      </c>
      <c r="D3" s="38">
        <v>5.0000000000000001E-4</v>
      </c>
      <c r="E3" s="37">
        <v>3.5799999999999998E-2</v>
      </c>
      <c r="F3" s="37">
        <v>2.2288999999999999</v>
      </c>
    </row>
    <row r="4" spans="1:6" ht="15.75" x14ac:dyDescent="0.25">
      <c r="A4" s="37">
        <v>19</v>
      </c>
      <c r="B4" s="38">
        <v>4.0000000000000002E-9</v>
      </c>
      <c r="C4" s="38">
        <v>3.9999999999999998E-7</v>
      </c>
      <c r="D4" s="38">
        <v>5.0000000000000001E-4</v>
      </c>
      <c r="E4" s="37">
        <v>2.2800000000000001E-2</v>
      </c>
      <c r="F4" s="37">
        <v>1.8327</v>
      </c>
    </row>
    <row r="5" spans="1:6" ht="15.75" x14ac:dyDescent="0.25">
      <c r="A5" s="37">
        <v>20</v>
      </c>
      <c r="B5" s="38">
        <v>8.9999999999999999E-10</v>
      </c>
      <c r="C5" s="38">
        <v>1.9999999999999999E-6</v>
      </c>
      <c r="D5" s="38">
        <v>1E-4</v>
      </c>
      <c r="E5" s="37">
        <v>4.7300000000000002E-2</v>
      </c>
      <c r="F5" s="37">
        <v>0.46400000000000002</v>
      </c>
    </row>
    <row r="6" spans="1:6" ht="15.75" x14ac:dyDescent="0.25">
      <c r="A6" s="37">
        <v>21</v>
      </c>
      <c r="B6" s="38">
        <v>5.0000000000000003E-10</v>
      </c>
      <c r="C6" s="38">
        <v>1.9999999999999999E-6</v>
      </c>
      <c r="D6" s="38">
        <v>1.0000000000000001E-5</v>
      </c>
      <c r="E6" s="37">
        <v>4.5499999999999999E-2</v>
      </c>
      <c r="F6" s="37">
        <v>5.45E-2</v>
      </c>
    </row>
    <row r="7" spans="1:6" x14ac:dyDescent="0.25"/>
    <row r="8" spans="1:6" x14ac:dyDescent="0.25"/>
    <row r="9" spans="1:6" x14ac:dyDescent="0.25"/>
    <row r="10" spans="1:6" x14ac:dyDescent="0.25"/>
    <row r="11" spans="1:6" x14ac:dyDescent="0.25"/>
    <row r="12" spans="1:6" x14ac:dyDescent="0.25"/>
    <row r="13" spans="1:6" x14ac:dyDescent="0.25"/>
    <row r="14" spans="1:6" x14ac:dyDescent="0.25"/>
    <row r="15" spans="1:6" x14ac:dyDescent="0.25"/>
    <row r="16" spans="1: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</sheetData>
  <sheetProtection sheet="1" objects="1" scenarios="1" selectLockedCells="1"/>
  <mergeCells count="1">
    <mergeCell ref="B1:F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B5BC-DB66-4062-8D8B-629DD23A5458}">
  <dimension ref="A1:T643"/>
  <sheetViews>
    <sheetView workbookViewId="0">
      <selection activeCell="F7" sqref="F7:I7"/>
    </sheetView>
  </sheetViews>
  <sheetFormatPr defaultColWidth="0" defaultRowHeight="15.75" zeroHeight="1" x14ac:dyDescent="0.25"/>
  <cols>
    <col min="1" max="1" width="9.140625" customWidth="1"/>
    <col min="2" max="6" width="9.140625" style="1" customWidth="1"/>
    <col min="7" max="7" width="9.140625" style="2" customWidth="1"/>
    <col min="8" max="10" width="9.140625" style="6" customWidth="1"/>
    <col min="11" max="20" width="9.140625" customWidth="1"/>
    <col min="21" max="16384" width="9.140625" hidden="1"/>
  </cols>
  <sheetData>
    <row r="1" spans="1:20" ht="15.75" customHeight="1" x14ac:dyDescent="0.25">
      <c r="A1" s="22" t="s">
        <v>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 spans="1:20" ht="15.75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</row>
    <row r="3" spans="1:20" ht="15.7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spans="1:20" ht="18.75" x14ac:dyDescent="0.25">
      <c r="A4" s="23" t="s">
        <v>4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</row>
    <row r="5" spans="1:20" ht="15.75" customHeight="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3"/>
    </row>
    <row r="6" spans="1:20" x14ac:dyDescent="0.25">
      <c r="A6" s="14"/>
      <c r="B6" s="24" t="s">
        <v>5</v>
      </c>
      <c r="C6" s="24"/>
      <c r="D6" s="24"/>
      <c r="E6" s="24"/>
      <c r="F6" s="24"/>
      <c r="G6" s="24"/>
      <c r="H6" s="24"/>
      <c r="I6" s="24"/>
      <c r="J6" s="14"/>
      <c r="K6" s="12"/>
      <c r="L6" s="24" t="s">
        <v>6</v>
      </c>
      <c r="M6" s="24"/>
      <c r="N6" s="24"/>
      <c r="O6" s="24"/>
      <c r="P6" s="24"/>
      <c r="Q6" s="24"/>
      <c r="R6" s="24"/>
      <c r="S6" s="24"/>
      <c r="T6" s="14"/>
    </row>
    <row r="7" spans="1:20" x14ac:dyDescent="0.25">
      <c r="A7" s="12"/>
      <c r="B7" s="27" t="s">
        <v>7</v>
      </c>
      <c r="C7" s="27"/>
      <c r="D7" s="27"/>
      <c r="E7" s="27"/>
      <c r="F7" s="30">
        <v>7</v>
      </c>
      <c r="G7" s="30"/>
      <c r="H7" s="30"/>
      <c r="I7" s="30"/>
      <c r="J7" s="15"/>
      <c r="K7" s="12"/>
      <c r="L7" s="27" t="s">
        <v>10</v>
      </c>
      <c r="M7" s="27"/>
      <c r="N7" s="27"/>
      <c r="O7" s="27"/>
      <c r="P7" s="31">
        <v>5</v>
      </c>
      <c r="Q7" s="31"/>
      <c r="R7" s="31"/>
      <c r="S7" s="31"/>
      <c r="T7" s="12"/>
    </row>
    <row r="8" spans="1:20" x14ac:dyDescent="0.25">
      <c r="A8" s="12"/>
      <c r="B8" s="27" t="s">
        <v>1</v>
      </c>
      <c r="C8" s="27"/>
      <c r="D8" s="27"/>
      <c r="E8" s="27"/>
      <c r="F8" s="30">
        <v>50</v>
      </c>
      <c r="G8" s="30"/>
      <c r="H8" s="30"/>
      <c r="I8" s="30"/>
      <c r="J8" s="15"/>
      <c r="K8" s="12"/>
      <c r="L8" s="27" t="s">
        <v>13</v>
      </c>
      <c r="M8" s="27"/>
      <c r="N8" s="27"/>
      <c r="O8" s="28"/>
      <c r="P8" s="32">
        <f>+F8-(5-F7)*20</f>
        <v>90</v>
      </c>
      <c r="Q8" s="33"/>
      <c r="R8" s="33"/>
      <c r="S8" s="33"/>
      <c r="T8" s="12"/>
    </row>
    <row r="9" spans="1:20" x14ac:dyDescent="0.25">
      <c r="A9" s="12"/>
      <c r="B9" s="27" t="s">
        <v>8</v>
      </c>
      <c r="C9" s="27"/>
      <c r="D9" s="27"/>
      <c r="E9" s="27"/>
      <c r="F9" s="30">
        <v>7</v>
      </c>
      <c r="G9" s="30"/>
      <c r="H9" s="30"/>
      <c r="I9" s="30"/>
      <c r="J9" s="15"/>
      <c r="K9" s="12"/>
      <c r="L9" s="27" t="s">
        <v>14</v>
      </c>
      <c r="M9" s="27"/>
      <c r="N9" s="27"/>
      <c r="O9" s="28"/>
      <c r="P9" s="34">
        <f>INDEX('DADOS BRUTOS'!D:D,2+((F10-18)*211)+(P8-40))</f>
        <v>7.0480490000000007</v>
      </c>
      <c r="Q9" s="35"/>
      <c r="R9" s="35"/>
      <c r="S9" s="35"/>
      <c r="T9" s="12"/>
    </row>
    <row r="10" spans="1:20" x14ac:dyDescent="0.25">
      <c r="A10" s="12"/>
      <c r="B10" s="27" t="s">
        <v>9</v>
      </c>
      <c r="C10" s="27"/>
      <c r="D10" s="27"/>
      <c r="E10" s="27"/>
      <c r="F10" s="30">
        <v>20</v>
      </c>
      <c r="G10" s="30"/>
      <c r="H10" s="30"/>
      <c r="I10" s="30"/>
      <c r="J10" s="15"/>
      <c r="K10" s="12"/>
      <c r="L10" s="27" t="s">
        <v>11</v>
      </c>
      <c r="M10" s="27"/>
      <c r="N10" s="27"/>
      <c r="O10" s="28"/>
      <c r="P10" s="25">
        <f>F9/P9</f>
        <v>0.99318265239075376</v>
      </c>
      <c r="Q10" s="26"/>
      <c r="R10" s="26"/>
      <c r="S10" s="26"/>
      <c r="T10" s="12"/>
    </row>
    <row r="11" spans="1:20" x14ac:dyDescent="0.25">
      <c r="A11" s="12"/>
      <c r="B11" s="8"/>
      <c r="C11" s="8"/>
      <c r="D11" s="8"/>
      <c r="E11" s="8"/>
      <c r="F11" s="8"/>
      <c r="G11" s="8"/>
      <c r="H11" s="16"/>
      <c r="I11" s="16"/>
      <c r="J11" s="15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ht="15.75" customHeight="1" x14ac:dyDescent="0.25">
      <c r="A12" s="24" t="s">
        <v>12</v>
      </c>
      <c r="B12" s="24"/>
      <c r="C12" s="24"/>
      <c r="D12" s="24"/>
      <c r="E12" s="24"/>
      <c r="F12" s="24"/>
      <c r="G12" s="17"/>
      <c r="H12" s="27" t="str">
        <f>IF(P10&gt;=98%,"FENÔMENO",IF(P10&gt;=95%,"EXCELENTE",IF(P10&gt;=90%,"ÓTIMO",IF(P10&gt;=80%,"BOM",IF(P10&gt;=60%,"NORMAL","RUIM")))))</f>
        <v>FENÔMENO</v>
      </c>
      <c r="I12" s="27"/>
      <c r="J12" s="27"/>
      <c r="K12" s="27"/>
      <c r="L12" s="27"/>
      <c r="M12" s="27"/>
      <c r="N12" s="7"/>
      <c r="O12" s="27" t="str">
        <f>IF(H12="FENÔMENO","GASTE AGORA!!",IF(H12="EXCELENTE","GASTE AGORA!!",IF(H12="ÓTIMO","BOA!!","TESTE OUTRO JOGADOR")))</f>
        <v>GASTE AGORA!!</v>
      </c>
      <c r="P12" s="27"/>
      <c r="Q12" s="27"/>
      <c r="R12" s="27"/>
      <c r="S12" s="27"/>
      <c r="T12" s="27"/>
    </row>
    <row r="13" spans="1:20" ht="15.75" customHeight="1" x14ac:dyDescent="0.25">
      <c r="A13" s="24"/>
      <c r="B13" s="24"/>
      <c r="C13" s="24"/>
      <c r="D13" s="24"/>
      <c r="E13" s="24"/>
      <c r="F13" s="24"/>
      <c r="G13" s="17"/>
      <c r="H13" s="27"/>
      <c r="I13" s="27"/>
      <c r="J13" s="27"/>
      <c r="K13" s="27"/>
      <c r="L13" s="27"/>
      <c r="M13" s="27"/>
      <c r="N13" s="7"/>
      <c r="O13" s="27"/>
      <c r="P13" s="27"/>
      <c r="Q13" s="27"/>
      <c r="R13" s="27"/>
      <c r="S13" s="27"/>
      <c r="T13" s="27"/>
    </row>
    <row r="14" spans="1:20" ht="15.75" customHeight="1" x14ac:dyDescent="0.25">
      <c r="A14" s="7"/>
      <c r="B14" s="8"/>
      <c r="C14" s="8"/>
      <c r="D14" s="8"/>
      <c r="E14" s="8"/>
      <c r="F14" s="8"/>
      <c r="G14" s="9"/>
      <c r="H14" s="10"/>
      <c r="I14" s="10"/>
      <c r="J14" s="11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5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15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ht="15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ht="15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ht="15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ht="15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ht="15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ht="15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ht="15" x14ac:dyDescent="0.25">
      <c r="A23" s="29" t="s">
        <v>15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</row>
    <row r="24" spans="1:20" hidden="1" x14ac:dyDescent="0.25">
      <c r="A24" s="7"/>
      <c r="B24" s="8"/>
      <c r="C24" s="8"/>
      <c r="D24" s="8"/>
      <c r="E24" s="8"/>
      <c r="F24" s="8"/>
      <c r="G24" s="9"/>
      <c r="H24" s="10"/>
      <c r="I24" s="10"/>
      <c r="J24" s="11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hidden="1" x14ac:dyDescent="0.25">
      <c r="H25" s="5"/>
      <c r="I25" s="5"/>
      <c r="J25" s="4"/>
    </row>
    <row r="26" spans="1:20" hidden="1" x14ac:dyDescent="0.25">
      <c r="H26" s="5"/>
      <c r="I26" s="5"/>
      <c r="J26" s="4"/>
    </row>
    <row r="27" spans="1:20" hidden="1" x14ac:dyDescent="0.25">
      <c r="H27" s="5"/>
      <c r="I27" s="5"/>
      <c r="J27" s="4"/>
    </row>
    <row r="28" spans="1:20" hidden="1" x14ac:dyDescent="0.25">
      <c r="H28" s="5"/>
      <c r="I28" s="5"/>
      <c r="J28" s="4"/>
    </row>
    <row r="29" spans="1:20" hidden="1" x14ac:dyDescent="0.25">
      <c r="H29" s="5"/>
      <c r="I29" s="5"/>
      <c r="J29" s="4"/>
    </row>
    <row r="30" spans="1:20" hidden="1" x14ac:dyDescent="0.25">
      <c r="H30" s="5"/>
      <c r="I30" s="5"/>
      <c r="J30" s="4"/>
    </row>
    <row r="31" spans="1:20" hidden="1" x14ac:dyDescent="0.25">
      <c r="H31" s="5"/>
      <c r="I31" s="5"/>
      <c r="J31" s="4"/>
    </row>
    <row r="32" spans="1:20" hidden="1" x14ac:dyDescent="0.25">
      <c r="H32" s="5"/>
      <c r="I32" s="5"/>
      <c r="J32" s="4"/>
    </row>
    <row r="33" spans="8:10" hidden="1" x14ac:dyDescent="0.25">
      <c r="H33" s="5"/>
      <c r="I33" s="5"/>
      <c r="J33" s="4"/>
    </row>
    <row r="34" spans="8:10" hidden="1" x14ac:dyDescent="0.25">
      <c r="H34" s="5"/>
      <c r="I34" s="5"/>
      <c r="J34" s="4"/>
    </row>
    <row r="35" spans="8:10" hidden="1" x14ac:dyDescent="0.25">
      <c r="H35" s="5"/>
      <c r="I35" s="5"/>
      <c r="J35" s="4"/>
    </row>
    <row r="36" spans="8:10" hidden="1" x14ac:dyDescent="0.25">
      <c r="H36" s="5"/>
      <c r="I36" s="5"/>
      <c r="J36" s="4"/>
    </row>
    <row r="37" spans="8:10" hidden="1" x14ac:dyDescent="0.25">
      <c r="H37" s="5"/>
      <c r="I37" s="5"/>
      <c r="J37" s="4"/>
    </row>
    <row r="38" spans="8:10" hidden="1" x14ac:dyDescent="0.25">
      <c r="H38" s="4"/>
      <c r="I38" s="4"/>
      <c r="J38" s="4"/>
    </row>
    <row r="39" spans="8:10" hidden="1" x14ac:dyDescent="0.25">
      <c r="H39" s="4"/>
      <c r="I39" s="4"/>
      <c r="J39" s="4"/>
    </row>
    <row r="40" spans="8:10" hidden="1" x14ac:dyDescent="0.25">
      <c r="H40" s="4"/>
      <c r="I40" s="4"/>
      <c r="J40" s="4"/>
    </row>
    <row r="41" spans="8:10" hidden="1" x14ac:dyDescent="0.25">
      <c r="H41" s="4"/>
      <c r="I41" s="4"/>
      <c r="J41" s="4"/>
    </row>
    <row r="42" spans="8:10" hidden="1" x14ac:dyDescent="0.25">
      <c r="H42" s="4"/>
      <c r="I42" s="4"/>
      <c r="J42" s="4"/>
    </row>
    <row r="43" spans="8:10" hidden="1" x14ac:dyDescent="0.25">
      <c r="H43" s="4"/>
      <c r="I43" s="4"/>
      <c r="J43" s="4"/>
    </row>
    <row r="44" spans="8:10" hidden="1" x14ac:dyDescent="0.25">
      <c r="H44" s="4"/>
      <c r="I44" s="4"/>
      <c r="J44" s="4"/>
    </row>
    <row r="45" spans="8:10" hidden="1" x14ac:dyDescent="0.25">
      <c r="H45" s="4"/>
      <c r="I45" s="4"/>
      <c r="J45" s="4"/>
    </row>
    <row r="46" spans="8:10" hidden="1" x14ac:dyDescent="0.25">
      <c r="H46" s="4"/>
      <c r="I46" s="4"/>
      <c r="J46" s="4"/>
    </row>
    <row r="47" spans="8:10" hidden="1" x14ac:dyDescent="0.25">
      <c r="H47" s="4"/>
      <c r="I47" s="4"/>
      <c r="J47" s="4"/>
    </row>
    <row r="48" spans="8:10" hidden="1" x14ac:dyDescent="0.25">
      <c r="H48" s="4"/>
      <c r="I48" s="4"/>
      <c r="J48" s="4"/>
    </row>
    <row r="49" spans="8:10" hidden="1" x14ac:dyDescent="0.25">
      <c r="H49" s="4"/>
      <c r="I49" s="4"/>
      <c r="J49" s="4"/>
    </row>
    <row r="50" spans="8:10" hidden="1" x14ac:dyDescent="0.25">
      <c r="H50" s="4"/>
      <c r="I50" s="4"/>
      <c r="J50" s="4"/>
    </row>
    <row r="51" spans="8:10" hidden="1" x14ac:dyDescent="0.25">
      <c r="H51" s="4"/>
      <c r="I51" s="4"/>
      <c r="J51" s="4"/>
    </row>
    <row r="52" spans="8:10" hidden="1" x14ac:dyDescent="0.25">
      <c r="H52" s="4"/>
      <c r="I52" s="4"/>
      <c r="J52" s="4"/>
    </row>
    <row r="53" spans="8:10" hidden="1" x14ac:dyDescent="0.25">
      <c r="H53" s="4"/>
      <c r="I53" s="4"/>
      <c r="J53" s="4"/>
    </row>
    <row r="54" spans="8:10" hidden="1" x14ac:dyDescent="0.25">
      <c r="H54" s="4"/>
      <c r="I54" s="4"/>
      <c r="J54" s="4"/>
    </row>
    <row r="55" spans="8:10" hidden="1" x14ac:dyDescent="0.25">
      <c r="H55" s="4"/>
      <c r="I55" s="4"/>
      <c r="J55" s="4"/>
    </row>
    <row r="56" spans="8:10" hidden="1" x14ac:dyDescent="0.25">
      <c r="H56" s="4"/>
      <c r="I56" s="4"/>
      <c r="J56" s="4"/>
    </row>
    <row r="57" spans="8:10" hidden="1" x14ac:dyDescent="0.25">
      <c r="H57" s="4"/>
      <c r="I57" s="4"/>
      <c r="J57" s="4"/>
    </row>
    <row r="58" spans="8:10" hidden="1" x14ac:dyDescent="0.25">
      <c r="H58" s="4"/>
      <c r="I58" s="4"/>
      <c r="J58" s="4"/>
    </row>
    <row r="59" spans="8:10" hidden="1" x14ac:dyDescent="0.25">
      <c r="H59" s="4"/>
      <c r="I59" s="4"/>
      <c r="J59" s="4"/>
    </row>
    <row r="60" spans="8:10" hidden="1" x14ac:dyDescent="0.25">
      <c r="H60" s="4"/>
      <c r="I60" s="4"/>
      <c r="J60" s="4"/>
    </row>
    <row r="61" spans="8:10" hidden="1" x14ac:dyDescent="0.25">
      <c r="H61" s="4"/>
      <c r="I61" s="4"/>
      <c r="J61" s="4"/>
    </row>
    <row r="62" spans="8:10" hidden="1" x14ac:dyDescent="0.25">
      <c r="H62" s="4"/>
      <c r="I62" s="4"/>
      <c r="J62" s="4"/>
    </row>
    <row r="63" spans="8:10" hidden="1" x14ac:dyDescent="0.25">
      <c r="H63" s="4"/>
      <c r="I63" s="4"/>
      <c r="J63" s="4"/>
    </row>
    <row r="64" spans="8:10" hidden="1" x14ac:dyDescent="0.25">
      <c r="H64" s="4"/>
      <c r="I64" s="4"/>
      <c r="J64" s="4"/>
    </row>
    <row r="65" spans="8:10" hidden="1" x14ac:dyDescent="0.25">
      <c r="H65" s="4"/>
      <c r="I65" s="4"/>
      <c r="J65" s="4"/>
    </row>
    <row r="66" spans="8:10" hidden="1" x14ac:dyDescent="0.25">
      <c r="H66" s="4"/>
      <c r="I66" s="4"/>
      <c r="J66" s="4"/>
    </row>
    <row r="67" spans="8:10" hidden="1" x14ac:dyDescent="0.25">
      <c r="H67" s="4"/>
      <c r="I67" s="4"/>
      <c r="J67" s="4"/>
    </row>
    <row r="68" spans="8:10" hidden="1" x14ac:dyDescent="0.25">
      <c r="H68" s="4"/>
      <c r="I68" s="4"/>
      <c r="J68" s="4"/>
    </row>
    <row r="69" spans="8:10" hidden="1" x14ac:dyDescent="0.25">
      <c r="H69" s="4"/>
      <c r="I69" s="4"/>
      <c r="J69" s="4"/>
    </row>
    <row r="70" spans="8:10" hidden="1" x14ac:dyDescent="0.25">
      <c r="H70" s="4"/>
      <c r="I70" s="4"/>
      <c r="J70" s="4"/>
    </row>
    <row r="71" spans="8:10" hidden="1" x14ac:dyDescent="0.25">
      <c r="H71" s="4"/>
      <c r="I71" s="4"/>
      <c r="J71" s="4"/>
    </row>
    <row r="72" spans="8:10" hidden="1" x14ac:dyDescent="0.25">
      <c r="H72" s="4"/>
      <c r="I72" s="4"/>
      <c r="J72" s="4"/>
    </row>
    <row r="73" spans="8:10" hidden="1" x14ac:dyDescent="0.25">
      <c r="H73" s="4"/>
      <c r="I73" s="4"/>
      <c r="J73" s="4"/>
    </row>
    <row r="74" spans="8:10" hidden="1" x14ac:dyDescent="0.25">
      <c r="H74" s="4"/>
      <c r="I74" s="4"/>
      <c r="J74" s="4"/>
    </row>
    <row r="75" spans="8:10" hidden="1" x14ac:dyDescent="0.25">
      <c r="H75" s="4"/>
      <c r="I75" s="4"/>
      <c r="J75" s="4"/>
    </row>
    <row r="76" spans="8:10" hidden="1" x14ac:dyDescent="0.25">
      <c r="H76" s="4"/>
      <c r="I76" s="4"/>
      <c r="J76" s="4"/>
    </row>
    <row r="77" spans="8:10" hidden="1" x14ac:dyDescent="0.25">
      <c r="H77" s="4"/>
      <c r="I77" s="4"/>
      <c r="J77" s="4"/>
    </row>
    <row r="78" spans="8:10" hidden="1" x14ac:dyDescent="0.25">
      <c r="H78" s="4"/>
      <c r="I78" s="4"/>
      <c r="J78" s="4"/>
    </row>
    <row r="79" spans="8:10" hidden="1" x14ac:dyDescent="0.25">
      <c r="H79" s="4"/>
      <c r="I79" s="4"/>
      <c r="J79" s="4"/>
    </row>
    <row r="80" spans="8:10" hidden="1" x14ac:dyDescent="0.25">
      <c r="H80" s="4"/>
      <c r="I80" s="4"/>
      <c r="J80" s="4"/>
    </row>
    <row r="81" spans="8:10" hidden="1" x14ac:dyDescent="0.25">
      <c r="H81" s="4"/>
      <c r="I81" s="4"/>
      <c r="J81" s="4"/>
    </row>
    <row r="82" spans="8:10" hidden="1" x14ac:dyDescent="0.25">
      <c r="H82" s="4"/>
      <c r="I82" s="4"/>
      <c r="J82" s="4"/>
    </row>
    <row r="83" spans="8:10" hidden="1" x14ac:dyDescent="0.25">
      <c r="H83" s="4"/>
      <c r="I83" s="4"/>
      <c r="J83" s="4"/>
    </row>
    <row r="84" spans="8:10" hidden="1" x14ac:dyDescent="0.25">
      <c r="H84" s="4"/>
      <c r="I84" s="4"/>
      <c r="J84" s="4"/>
    </row>
    <row r="85" spans="8:10" hidden="1" x14ac:dyDescent="0.25">
      <c r="H85" s="4"/>
      <c r="I85" s="4"/>
      <c r="J85" s="4"/>
    </row>
    <row r="86" spans="8:10" hidden="1" x14ac:dyDescent="0.25">
      <c r="H86" s="4"/>
      <c r="I86" s="4"/>
      <c r="J86" s="4"/>
    </row>
    <row r="87" spans="8:10" hidden="1" x14ac:dyDescent="0.25">
      <c r="H87" s="4"/>
      <c r="I87" s="4"/>
      <c r="J87" s="4"/>
    </row>
    <row r="88" spans="8:10" hidden="1" x14ac:dyDescent="0.25">
      <c r="H88" s="4"/>
      <c r="I88" s="4"/>
      <c r="J88" s="4"/>
    </row>
    <row r="89" spans="8:10" hidden="1" x14ac:dyDescent="0.25">
      <c r="H89" s="4"/>
      <c r="I89" s="4"/>
      <c r="J89" s="4"/>
    </row>
    <row r="90" spans="8:10" hidden="1" x14ac:dyDescent="0.25">
      <c r="H90" s="4"/>
      <c r="I90" s="4"/>
      <c r="J90" s="4"/>
    </row>
    <row r="91" spans="8:10" hidden="1" x14ac:dyDescent="0.25">
      <c r="H91" s="4"/>
      <c r="I91" s="4"/>
      <c r="J91" s="4"/>
    </row>
    <row r="92" spans="8:10" hidden="1" x14ac:dyDescent="0.25">
      <c r="H92" s="4"/>
      <c r="I92" s="4"/>
      <c r="J92" s="4"/>
    </row>
    <row r="93" spans="8:10" hidden="1" x14ac:dyDescent="0.25">
      <c r="H93" s="4"/>
      <c r="I93" s="4"/>
      <c r="J93" s="4"/>
    </row>
    <row r="94" spans="8:10" hidden="1" x14ac:dyDescent="0.25">
      <c r="H94" s="4"/>
      <c r="I94" s="4"/>
      <c r="J94" s="4"/>
    </row>
    <row r="95" spans="8:10" hidden="1" x14ac:dyDescent="0.25">
      <c r="H95" s="4"/>
      <c r="I95" s="4"/>
      <c r="J95" s="4"/>
    </row>
    <row r="96" spans="8:10" hidden="1" x14ac:dyDescent="0.25">
      <c r="H96" s="4"/>
      <c r="I96" s="4"/>
      <c r="J96" s="4"/>
    </row>
    <row r="97" spans="8:10" hidden="1" x14ac:dyDescent="0.25">
      <c r="H97" s="4"/>
      <c r="I97" s="4"/>
      <c r="J97" s="4"/>
    </row>
    <row r="98" spans="8:10" hidden="1" x14ac:dyDescent="0.25">
      <c r="H98" s="4"/>
      <c r="I98" s="4"/>
      <c r="J98" s="4"/>
    </row>
    <row r="99" spans="8:10" hidden="1" x14ac:dyDescent="0.25">
      <c r="H99" s="4"/>
      <c r="I99" s="4"/>
      <c r="J99" s="4"/>
    </row>
    <row r="100" spans="8:10" hidden="1" x14ac:dyDescent="0.25">
      <c r="H100" s="4"/>
      <c r="I100" s="4"/>
      <c r="J100" s="4"/>
    </row>
    <row r="101" spans="8:10" hidden="1" x14ac:dyDescent="0.25">
      <c r="H101" s="4"/>
      <c r="I101" s="4"/>
      <c r="J101" s="4"/>
    </row>
    <row r="102" spans="8:10" hidden="1" x14ac:dyDescent="0.25">
      <c r="H102" s="4"/>
      <c r="I102" s="4"/>
      <c r="J102" s="4"/>
    </row>
    <row r="103" spans="8:10" hidden="1" x14ac:dyDescent="0.25">
      <c r="H103" s="4"/>
      <c r="I103" s="4"/>
      <c r="J103" s="4"/>
    </row>
    <row r="104" spans="8:10" hidden="1" x14ac:dyDescent="0.25">
      <c r="H104" s="4"/>
      <c r="I104" s="4"/>
      <c r="J104" s="4"/>
    </row>
    <row r="105" spans="8:10" hidden="1" x14ac:dyDescent="0.25">
      <c r="H105" s="4"/>
      <c r="I105" s="4"/>
      <c r="J105" s="4"/>
    </row>
    <row r="106" spans="8:10" hidden="1" x14ac:dyDescent="0.25">
      <c r="H106" s="4"/>
      <c r="I106" s="4"/>
      <c r="J106" s="4"/>
    </row>
    <row r="107" spans="8:10" hidden="1" x14ac:dyDescent="0.25">
      <c r="H107" s="4"/>
      <c r="I107" s="4"/>
      <c r="J107" s="4"/>
    </row>
    <row r="108" spans="8:10" hidden="1" x14ac:dyDescent="0.25">
      <c r="H108" s="4"/>
      <c r="I108" s="4"/>
      <c r="J108" s="4"/>
    </row>
    <row r="109" spans="8:10" hidden="1" x14ac:dyDescent="0.25">
      <c r="H109" s="4"/>
      <c r="I109" s="4"/>
      <c r="J109" s="4"/>
    </row>
    <row r="110" spans="8:10" hidden="1" x14ac:dyDescent="0.25">
      <c r="H110" s="4"/>
      <c r="I110" s="4"/>
      <c r="J110" s="4"/>
    </row>
    <row r="111" spans="8:10" hidden="1" x14ac:dyDescent="0.25">
      <c r="H111" s="4"/>
      <c r="I111" s="4"/>
      <c r="J111" s="4"/>
    </row>
    <row r="112" spans="8:10" hidden="1" x14ac:dyDescent="0.25">
      <c r="H112" s="4"/>
      <c r="I112" s="4"/>
      <c r="J112" s="4"/>
    </row>
    <row r="113" spans="8:10" hidden="1" x14ac:dyDescent="0.25">
      <c r="H113" s="4"/>
      <c r="I113" s="4"/>
      <c r="J113" s="4"/>
    </row>
    <row r="114" spans="8:10" hidden="1" x14ac:dyDescent="0.25">
      <c r="H114" s="4"/>
      <c r="I114" s="4"/>
      <c r="J114" s="4"/>
    </row>
    <row r="115" spans="8:10" hidden="1" x14ac:dyDescent="0.25">
      <c r="H115" s="4"/>
      <c r="I115" s="4"/>
      <c r="J115" s="4"/>
    </row>
    <row r="116" spans="8:10" hidden="1" x14ac:dyDescent="0.25">
      <c r="H116" s="4"/>
      <c r="I116" s="4"/>
      <c r="J116" s="4"/>
    </row>
    <row r="117" spans="8:10" hidden="1" x14ac:dyDescent="0.25">
      <c r="H117" s="4"/>
      <c r="I117" s="4"/>
      <c r="J117" s="4"/>
    </row>
    <row r="118" spans="8:10" hidden="1" x14ac:dyDescent="0.25">
      <c r="H118" s="4"/>
      <c r="I118" s="4"/>
      <c r="J118" s="4"/>
    </row>
    <row r="119" spans="8:10" hidden="1" x14ac:dyDescent="0.25">
      <c r="H119" s="4"/>
      <c r="I119" s="4"/>
      <c r="J119" s="4"/>
    </row>
    <row r="120" spans="8:10" hidden="1" x14ac:dyDescent="0.25">
      <c r="H120" s="4"/>
      <c r="I120" s="4"/>
      <c r="J120" s="4"/>
    </row>
    <row r="121" spans="8:10" hidden="1" x14ac:dyDescent="0.25">
      <c r="H121" s="4"/>
      <c r="I121" s="4"/>
      <c r="J121" s="4"/>
    </row>
    <row r="122" spans="8:10" hidden="1" x14ac:dyDescent="0.25">
      <c r="H122" s="4"/>
      <c r="I122" s="4"/>
      <c r="J122" s="4"/>
    </row>
    <row r="123" spans="8:10" hidden="1" x14ac:dyDescent="0.25">
      <c r="H123" s="4"/>
      <c r="I123" s="4"/>
      <c r="J123" s="4"/>
    </row>
    <row r="124" spans="8:10" hidden="1" x14ac:dyDescent="0.25">
      <c r="H124" s="4"/>
      <c r="I124" s="4"/>
      <c r="J124" s="4"/>
    </row>
    <row r="125" spans="8:10" hidden="1" x14ac:dyDescent="0.25">
      <c r="H125" s="4"/>
      <c r="I125" s="4"/>
      <c r="J125" s="4"/>
    </row>
    <row r="126" spans="8:10" hidden="1" x14ac:dyDescent="0.25">
      <c r="H126" s="4"/>
      <c r="I126" s="4"/>
      <c r="J126" s="4"/>
    </row>
    <row r="127" spans="8:10" hidden="1" x14ac:dyDescent="0.25">
      <c r="H127" s="4"/>
      <c r="I127" s="4"/>
      <c r="J127" s="4"/>
    </row>
    <row r="128" spans="8:10" hidden="1" x14ac:dyDescent="0.25">
      <c r="H128" s="4"/>
      <c r="I128" s="4"/>
      <c r="J128" s="4"/>
    </row>
    <row r="129" spans="8:10" hidden="1" x14ac:dyDescent="0.25">
      <c r="H129" s="4"/>
      <c r="I129" s="4"/>
      <c r="J129" s="4"/>
    </row>
    <row r="130" spans="8:10" hidden="1" x14ac:dyDescent="0.25">
      <c r="H130" s="4"/>
      <c r="I130" s="4"/>
      <c r="J130" s="4"/>
    </row>
    <row r="131" spans="8:10" hidden="1" x14ac:dyDescent="0.25">
      <c r="H131" s="4"/>
      <c r="I131" s="4"/>
      <c r="J131" s="4"/>
    </row>
    <row r="132" spans="8:10" hidden="1" x14ac:dyDescent="0.25">
      <c r="H132" s="4"/>
      <c r="I132" s="4"/>
      <c r="J132" s="4"/>
    </row>
    <row r="133" spans="8:10" hidden="1" x14ac:dyDescent="0.25">
      <c r="H133" s="4"/>
      <c r="I133" s="4"/>
      <c r="J133" s="4"/>
    </row>
    <row r="134" spans="8:10" hidden="1" x14ac:dyDescent="0.25">
      <c r="H134" s="4"/>
      <c r="I134" s="4"/>
      <c r="J134" s="4"/>
    </row>
    <row r="135" spans="8:10" hidden="1" x14ac:dyDescent="0.25">
      <c r="H135" s="4"/>
      <c r="I135" s="4"/>
      <c r="J135" s="4"/>
    </row>
    <row r="136" spans="8:10" hidden="1" x14ac:dyDescent="0.25">
      <c r="H136" s="4"/>
      <c r="I136" s="4"/>
      <c r="J136" s="4"/>
    </row>
    <row r="137" spans="8:10" hidden="1" x14ac:dyDescent="0.25">
      <c r="H137" s="4"/>
      <c r="I137" s="4"/>
      <c r="J137" s="4"/>
    </row>
    <row r="138" spans="8:10" hidden="1" x14ac:dyDescent="0.25">
      <c r="H138" s="4"/>
      <c r="I138" s="4"/>
      <c r="J138" s="4"/>
    </row>
    <row r="139" spans="8:10" hidden="1" x14ac:dyDescent="0.25">
      <c r="H139" s="4"/>
      <c r="I139" s="4"/>
      <c r="J139" s="4"/>
    </row>
    <row r="140" spans="8:10" hidden="1" x14ac:dyDescent="0.25">
      <c r="H140" s="4"/>
      <c r="I140" s="4"/>
      <c r="J140" s="4"/>
    </row>
    <row r="141" spans="8:10" hidden="1" x14ac:dyDescent="0.25">
      <c r="H141" s="4"/>
      <c r="I141" s="4"/>
      <c r="J141" s="4"/>
    </row>
    <row r="142" spans="8:10" hidden="1" x14ac:dyDescent="0.25">
      <c r="H142" s="4"/>
      <c r="I142" s="4"/>
      <c r="J142" s="4"/>
    </row>
    <row r="143" spans="8:10" hidden="1" x14ac:dyDescent="0.25">
      <c r="H143" s="4"/>
      <c r="I143" s="4"/>
      <c r="J143" s="4"/>
    </row>
    <row r="144" spans="8:10" hidden="1" x14ac:dyDescent="0.25">
      <c r="H144" s="4"/>
      <c r="I144" s="4"/>
      <c r="J144" s="4"/>
    </row>
    <row r="145" spans="8:10" hidden="1" x14ac:dyDescent="0.25">
      <c r="H145" s="4"/>
      <c r="I145" s="4"/>
      <c r="J145" s="4"/>
    </row>
    <row r="146" spans="8:10" hidden="1" x14ac:dyDescent="0.25">
      <c r="H146" s="4"/>
      <c r="I146" s="4"/>
      <c r="J146" s="4"/>
    </row>
    <row r="147" spans="8:10" hidden="1" x14ac:dyDescent="0.25">
      <c r="H147" s="4"/>
      <c r="I147" s="4"/>
      <c r="J147" s="4"/>
    </row>
    <row r="148" spans="8:10" hidden="1" x14ac:dyDescent="0.25">
      <c r="H148" s="4"/>
      <c r="I148" s="4"/>
      <c r="J148" s="4"/>
    </row>
    <row r="149" spans="8:10" hidden="1" x14ac:dyDescent="0.25">
      <c r="H149" s="4"/>
      <c r="I149" s="4"/>
      <c r="J149" s="4"/>
    </row>
    <row r="150" spans="8:10" hidden="1" x14ac:dyDescent="0.25">
      <c r="H150" s="4"/>
      <c r="I150" s="4"/>
      <c r="J150" s="4"/>
    </row>
    <row r="151" spans="8:10" hidden="1" x14ac:dyDescent="0.25">
      <c r="H151" s="4"/>
      <c r="I151" s="4"/>
      <c r="J151" s="4"/>
    </row>
    <row r="152" spans="8:10" hidden="1" x14ac:dyDescent="0.25">
      <c r="H152" s="4"/>
      <c r="I152" s="4"/>
      <c r="J152" s="4"/>
    </row>
    <row r="153" spans="8:10" hidden="1" x14ac:dyDescent="0.25">
      <c r="H153" s="4"/>
      <c r="I153" s="4"/>
      <c r="J153" s="4"/>
    </row>
    <row r="154" spans="8:10" hidden="1" x14ac:dyDescent="0.25">
      <c r="H154" s="4"/>
      <c r="I154" s="4"/>
      <c r="J154" s="4"/>
    </row>
    <row r="155" spans="8:10" hidden="1" x14ac:dyDescent="0.25">
      <c r="H155" s="4"/>
      <c r="I155" s="4"/>
      <c r="J155" s="4"/>
    </row>
    <row r="156" spans="8:10" hidden="1" x14ac:dyDescent="0.25">
      <c r="H156" s="4"/>
      <c r="I156" s="4"/>
      <c r="J156" s="4"/>
    </row>
    <row r="157" spans="8:10" hidden="1" x14ac:dyDescent="0.25">
      <c r="H157" s="4"/>
      <c r="I157" s="4"/>
      <c r="J157" s="4"/>
    </row>
    <row r="158" spans="8:10" hidden="1" x14ac:dyDescent="0.25">
      <c r="H158" s="4"/>
      <c r="I158" s="4"/>
      <c r="J158" s="4"/>
    </row>
    <row r="159" spans="8:10" hidden="1" x14ac:dyDescent="0.25">
      <c r="H159" s="4"/>
      <c r="I159" s="4"/>
      <c r="J159" s="4"/>
    </row>
    <row r="160" spans="8:10" hidden="1" x14ac:dyDescent="0.25">
      <c r="H160" s="4"/>
      <c r="I160" s="4"/>
      <c r="J160" s="4"/>
    </row>
    <row r="161" spans="8:10" hidden="1" x14ac:dyDescent="0.25">
      <c r="H161" s="4"/>
      <c r="I161" s="4"/>
      <c r="J161" s="4"/>
    </row>
    <row r="162" spans="8:10" hidden="1" x14ac:dyDescent="0.25">
      <c r="H162" s="4"/>
      <c r="I162" s="4"/>
      <c r="J162" s="4"/>
    </row>
    <row r="163" spans="8:10" hidden="1" x14ac:dyDescent="0.25">
      <c r="H163" s="4"/>
      <c r="I163" s="4"/>
      <c r="J163" s="4"/>
    </row>
    <row r="164" spans="8:10" hidden="1" x14ac:dyDescent="0.25">
      <c r="H164" s="4"/>
      <c r="I164" s="4"/>
      <c r="J164" s="4"/>
    </row>
    <row r="165" spans="8:10" hidden="1" x14ac:dyDescent="0.25">
      <c r="H165" s="4"/>
      <c r="I165" s="4"/>
      <c r="J165" s="4"/>
    </row>
    <row r="166" spans="8:10" hidden="1" x14ac:dyDescent="0.25">
      <c r="H166" s="4"/>
      <c r="I166" s="4"/>
      <c r="J166" s="4"/>
    </row>
    <row r="167" spans="8:10" hidden="1" x14ac:dyDescent="0.25">
      <c r="H167" s="4"/>
      <c r="I167" s="4"/>
      <c r="J167" s="4"/>
    </row>
    <row r="168" spans="8:10" hidden="1" x14ac:dyDescent="0.25">
      <c r="H168" s="4"/>
      <c r="I168" s="4"/>
      <c r="J168" s="4"/>
    </row>
    <row r="169" spans="8:10" hidden="1" x14ac:dyDescent="0.25">
      <c r="H169" s="4"/>
      <c r="I169" s="4"/>
      <c r="J169" s="4"/>
    </row>
    <row r="170" spans="8:10" hidden="1" x14ac:dyDescent="0.25">
      <c r="H170" s="4"/>
      <c r="I170" s="4"/>
      <c r="J170" s="4"/>
    </row>
    <row r="171" spans="8:10" hidden="1" x14ac:dyDescent="0.25">
      <c r="H171" s="4"/>
      <c r="I171" s="4"/>
      <c r="J171" s="4"/>
    </row>
    <row r="172" spans="8:10" hidden="1" x14ac:dyDescent="0.25">
      <c r="H172" s="4"/>
      <c r="I172" s="4"/>
      <c r="J172" s="4"/>
    </row>
    <row r="173" spans="8:10" hidden="1" x14ac:dyDescent="0.25">
      <c r="H173" s="4"/>
      <c r="I173" s="4"/>
      <c r="J173" s="4"/>
    </row>
    <row r="174" spans="8:10" hidden="1" x14ac:dyDescent="0.25">
      <c r="H174" s="4"/>
      <c r="I174" s="4"/>
      <c r="J174" s="4"/>
    </row>
    <row r="175" spans="8:10" hidden="1" x14ac:dyDescent="0.25">
      <c r="H175" s="4"/>
      <c r="I175" s="4"/>
      <c r="J175" s="4"/>
    </row>
    <row r="176" spans="8:10" hidden="1" x14ac:dyDescent="0.25">
      <c r="H176" s="4"/>
      <c r="I176" s="4"/>
      <c r="J176" s="4"/>
    </row>
    <row r="177" spans="8:10" hidden="1" x14ac:dyDescent="0.25">
      <c r="H177" s="4"/>
      <c r="I177" s="4"/>
      <c r="J177" s="4"/>
    </row>
    <row r="178" spans="8:10" hidden="1" x14ac:dyDescent="0.25">
      <c r="H178" s="4"/>
      <c r="I178" s="4"/>
      <c r="J178" s="4"/>
    </row>
    <row r="179" spans="8:10" hidden="1" x14ac:dyDescent="0.25">
      <c r="H179" s="4"/>
      <c r="I179" s="4"/>
      <c r="J179" s="4"/>
    </row>
    <row r="180" spans="8:10" hidden="1" x14ac:dyDescent="0.25">
      <c r="H180" s="4"/>
      <c r="I180" s="4"/>
      <c r="J180" s="4"/>
    </row>
    <row r="181" spans="8:10" hidden="1" x14ac:dyDescent="0.25">
      <c r="H181" s="4"/>
      <c r="I181" s="4"/>
      <c r="J181" s="4"/>
    </row>
    <row r="182" spans="8:10" hidden="1" x14ac:dyDescent="0.25">
      <c r="H182" s="4"/>
      <c r="I182" s="4"/>
      <c r="J182" s="4"/>
    </row>
    <row r="183" spans="8:10" hidden="1" x14ac:dyDescent="0.25">
      <c r="H183" s="4"/>
      <c r="I183" s="4"/>
      <c r="J183" s="4"/>
    </row>
    <row r="184" spans="8:10" hidden="1" x14ac:dyDescent="0.25">
      <c r="H184" s="4"/>
      <c r="I184" s="4"/>
      <c r="J184" s="4"/>
    </row>
    <row r="185" spans="8:10" hidden="1" x14ac:dyDescent="0.25">
      <c r="H185" s="4"/>
      <c r="I185" s="4"/>
      <c r="J185" s="4"/>
    </row>
    <row r="186" spans="8:10" hidden="1" x14ac:dyDescent="0.25">
      <c r="H186" s="4"/>
      <c r="I186" s="4"/>
      <c r="J186" s="4"/>
    </row>
    <row r="187" spans="8:10" hidden="1" x14ac:dyDescent="0.25">
      <c r="H187" s="4"/>
      <c r="I187" s="4"/>
      <c r="J187" s="4"/>
    </row>
    <row r="188" spans="8:10" hidden="1" x14ac:dyDescent="0.25">
      <c r="H188" s="4"/>
      <c r="I188" s="4"/>
      <c r="J188" s="4"/>
    </row>
    <row r="189" spans="8:10" hidden="1" x14ac:dyDescent="0.25">
      <c r="H189" s="4"/>
      <c r="I189" s="4"/>
      <c r="J189" s="4"/>
    </row>
    <row r="190" spans="8:10" hidden="1" x14ac:dyDescent="0.25">
      <c r="H190" s="4"/>
      <c r="I190" s="4"/>
      <c r="J190" s="4"/>
    </row>
    <row r="191" spans="8:10" hidden="1" x14ac:dyDescent="0.25">
      <c r="H191" s="4"/>
      <c r="I191" s="4"/>
      <c r="J191" s="4"/>
    </row>
    <row r="192" spans="8:10" hidden="1" x14ac:dyDescent="0.25">
      <c r="H192" s="4"/>
      <c r="I192" s="4"/>
      <c r="J192" s="4"/>
    </row>
    <row r="193" spans="8:10" hidden="1" x14ac:dyDescent="0.25">
      <c r="H193" s="4"/>
      <c r="I193" s="4"/>
      <c r="J193" s="4"/>
    </row>
    <row r="194" spans="8:10" hidden="1" x14ac:dyDescent="0.25">
      <c r="H194" s="4"/>
      <c r="I194" s="4"/>
      <c r="J194" s="4"/>
    </row>
    <row r="195" spans="8:10" hidden="1" x14ac:dyDescent="0.25">
      <c r="H195" s="4"/>
      <c r="I195" s="4"/>
      <c r="J195" s="4"/>
    </row>
    <row r="196" spans="8:10" hidden="1" x14ac:dyDescent="0.25">
      <c r="H196" s="4"/>
      <c r="I196" s="4"/>
      <c r="J196" s="4"/>
    </row>
    <row r="197" spans="8:10" hidden="1" x14ac:dyDescent="0.25">
      <c r="H197" s="4"/>
      <c r="I197" s="4"/>
      <c r="J197" s="4"/>
    </row>
    <row r="198" spans="8:10" hidden="1" x14ac:dyDescent="0.25">
      <c r="H198" s="4"/>
      <c r="I198" s="4"/>
      <c r="J198" s="4"/>
    </row>
    <row r="199" spans="8:10" hidden="1" x14ac:dyDescent="0.25">
      <c r="H199" s="4"/>
      <c r="I199" s="4"/>
      <c r="J199" s="4"/>
    </row>
    <row r="200" spans="8:10" hidden="1" x14ac:dyDescent="0.25">
      <c r="H200" s="4"/>
      <c r="I200" s="4"/>
      <c r="J200" s="4"/>
    </row>
    <row r="201" spans="8:10" hidden="1" x14ac:dyDescent="0.25">
      <c r="H201" s="4"/>
      <c r="I201" s="4"/>
      <c r="J201" s="4"/>
    </row>
    <row r="202" spans="8:10" hidden="1" x14ac:dyDescent="0.25">
      <c r="H202" s="4"/>
      <c r="I202" s="4"/>
      <c r="J202" s="4"/>
    </row>
    <row r="203" spans="8:10" hidden="1" x14ac:dyDescent="0.25">
      <c r="H203" s="4"/>
      <c r="I203" s="4"/>
      <c r="J203" s="4"/>
    </row>
    <row r="204" spans="8:10" hidden="1" x14ac:dyDescent="0.25">
      <c r="H204" s="4"/>
      <c r="I204" s="4"/>
      <c r="J204" s="4"/>
    </row>
    <row r="205" spans="8:10" hidden="1" x14ac:dyDescent="0.25">
      <c r="H205" s="4"/>
      <c r="I205" s="4"/>
      <c r="J205" s="4"/>
    </row>
    <row r="206" spans="8:10" hidden="1" x14ac:dyDescent="0.25">
      <c r="H206" s="4"/>
      <c r="I206" s="4"/>
      <c r="J206" s="4"/>
    </row>
    <row r="207" spans="8:10" hidden="1" x14ac:dyDescent="0.25">
      <c r="H207" s="4"/>
      <c r="I207" s="4"/>
      <c r="J207" s="4"/>
    </row>
    <row r="208" spans="8:10" hidden="1" x14ac:dyDescent="0.25">
      <c r="H208" s="4"/>
      <c r="I208" s="4"/>
      <c r="J208" s="4"/>
    </row>
    <row r="209" spans="8:10" hidden="1" x14ac:dyDescent="0.25">
      <c r="H209" s="4"/>
      <c r="I209" s="4"/>
      <c r="J209" s="4"/>
    </row>
    <row r="210" spans="8:10" hidden="1" x14ac:dyDescent="0.25">
      <c r="H210" s="4"/>
      <c r="I210" s="4"/>
      <c r="J210" s="4"/>
    </row>
    <row r="211" spans="8:10" hidden="1" x14ac:dyDescent="0.25">
      <c r="H211" s="4"/>
      <c r="I211" s="4"/>
      <c r="J211" s="4"/>
    </row>
    <row r="212" spans="8:10" hidden="1" x14ac:dyDescent="0.25">
      <c r="H212" s="4"/>
      <c r="I212" s="4"/>
      <c r="J212" s="4"/>
    </row>
    <row r="213" spans="8:10" hidden="1" x14ac:dyDescent="0.25">
      <c r="H213" s="4"/>
      <c r="I213" s="4"/>
      <c r="J213" s="4"/>
    </row>
    <row r="214" spans="8:10" hidden="1" x14ac:dyDescent="0.25">
      <c r="H214" s="4"/>
      <c r="I214" s="4"/>
      <c r="J214" s="4"/>
    </row>
    <row r="215" spans="8:10" hidden="1" x14ac:dyDescent="0.25">
      <c r="H215" s="4"/>
      <c r="I215" s="4"/>
      <c r="J215" s="4"/>
    </row>
    <row r="216" spans="8:10" hidden="1" x14ac:dyDescent="0.25">
      <c r="H216" s="4"/>
      <c r="I216" s="4"/>
      <c r="J216" s="4"/>
    </row>
    <row r="217" spans="8:10" hidden="1" x14ac:dyDescent="0.25">
      <c r="H217" s="4"/>
      <c r="I217" s="4"/>
      <c r="J217" s="4"/>
    </row>
    <row r="218" spans="8:10" hidden="1" x14ac:dyDescent="0.25">
      <c r="H218" s="4"/>
      <c r="I218" s="4"/>
      <c r="J218" s="4"/>
    </row>
    <row r="219" spans="8:10" hidden="1" x14ac:dyDescent="0.25">
      <c r="H219" s="4"/>
      <c r="I219" s="4"/>
      <c r="J219" s="4"/>
    </row>
    <row r="220" spans="8:10" hidden="1" x14ac:dyDescent="0.25">
      <c r="H220" s="4"/>
      <c r="I220" s="4"/>
      <c r="J220" s="4"/>
    </row>
    <row r="221" spans="8:10" hidden="1" x14ac:dyDescent="0.25">
      <c r="H221" s="4"/>
      <c r="I221" s="4"/>
      <c r="J221" s="4"/>
    </row>
    <row r="222" spans="8:10" hidden="1" x14ac:dyDescent="0.25">
      <c r="H222" s="4"/>
      <c r="I222" s="4"/>
      <c r="J222" s="4"/>
    </row>
    <row r="223" spans="8:10" hidden="1" x14ac:dyDescent="0.25">
      <c r="H223" s="4"/>
      <c r="I223" s="4"/>
      <c r="J223" s="4"/>
    </row>
    <row r="224" spans="8:10" hidden="1" x14ac:dyDescent="0.25">
      <c r="H224" s="4"/>
      <c r="I224" s="4"/>
      <c r="J224" s="4"/>
    </row>
    <row r="225" spans="8:10" hidden="1" x14ac:dyDescent="0.25">
      <c r="H225" s="4"/>
      <c r="I225" s="4"/>
      <c r="J225" s="4"/>
    </row>
    <row r="226" spans="8:10" hidden="1" x14ac:dyDescent="0.25">
      <c r="H226" s="4"/>
      <c r="I226" s="4"/>
      <c r="J226" s="4"/>
    </row>
    <row r="227" spans="8:10" hidden="1" x14ac:dyDescent="0.25">
      <c r="H227" s="4"/>
      <c r="I227" s="4"/>
      <c r="J227" s="4"/>
    </row>
    <row r="228" spans="8:10" hidden="1" x14ac:dyDescent="0.25">
      <c r="H228" s="4"/>
      <c r="I228" s="4"/>
      <c r="J228" s="4"/>
    </row>
    <row r="229" spans="8:10" hidden="1" x14ac:dyDescent="0.25">
      <c r="H229" s="4"/>
      <c r="I229" s="4"/>
      <c r="J229" s="4"/>
    </row>
    <row r="230" spans="8:10" hidden="1" x14ac:dyDescent="0.25">
      <c r="H230" s="4"/>
      <c r="I230" s="4"/>
      <c r="J230" s="4"/>
    </row>
    <row r="231" spans="8:10" hidden="1" x14ac:dyDescent="0.25">
      <c r="H231" s="4"/>
      <c r="I231" s="4"/>
      <c r="J231" s="4"/>
    </row>
    <row r="232" spans="8:10" hidden="1" x14ac:dyDescent="0.25">
      <c r="H232" s="4"/>
      <c r="I232" s="4"/>
      <c r="J232" s="4"/>
    </row>
    <row r="233" spans="8:10" hidden="1" x14ac:dyDescent="0.25">
      <c r="H233" s="4"/>
      <c r="I233" s="4"/>
      <c r="J233" s="4"/>
    </row>
    <row r="234" spans="8:10" hidden="1" x14ac:dyDescent="0.25">
      <c r="H234" s="4"/>
      <c r="I234" s="4"/>
      <c r="J234" s="4"/>
    </row>
    <row r="235" spans="8:10" hidden="1" x14ac:dyDescent="0.25">
      <c r="H235" s="4"/>
      <c r="I235" s="4"/>
      <c r="J235" s="4"/>
    </row>
    <row r="236" spans="8:10" hidden="1" x14ac:dyDescent="0.25">
      <c r="H236" s="4"/>
      <c r="I236" s="4"/>
      <c r="J236" s="4"/>
    </row>
    <row r="237" spans="8:10" hidden="1" x14ac:dyDescent="0.25">
      <c r="H237" s="4"/>
      <c r="I237" s="4"/>
      <c r="J237" s="4"/>
    </row>
    <row r="238" spans="8:10" hidden="1" x14ac:dyDescent="0.25">
      <c r="H238" s="4"/>
      <c r="I238" s="4"/>
      <c r="J238" s="4"/>
    </row>
    <row r="239" spans="8:10" hidden="1" x14ac:dyDescent="0.25">
      <c r="H239" s="4"/>
      <c r="I239" s="4"/>
      <c r="J239" s="4"/>
    </row>
    <row r="240" spans="8:10" hidden="1" x14ac:dyDescent="0.25">
      <c r="H240" s="4"/>
      <c r="I240" s="4"/>
      <c r="J240" s="4"/>
    </row>
    <row r="241" spans="8:10" hidden="1" x14ac:dyDescent="0.25">
      <c r="H241" s="4"/>
      <c r="I241" s="4"/>
      <c r="J241" s="4"/>
    </row>
    <row r="242" spans="8:10" hidden="1" x14ac:dyDescent="0.25">
      <c r="H242" s="4"/>
      <c r="I242" s="4"/>
      <c r="J242" s="4"/>
    </row>
    <row r="243" spans="8:10" hidden="1" x14ac:dyDescent="0.25">
      <c r="H243" s="4"/>
      <c r="I243" s="4"/>
      <c r="J243" s="4"/>
    </row>
    <row r="244" spans="8:10" hidden="1" x14ac:dyDescent="0.25">
      <c r="H244" s="4"/>
      <c r="I244" s="4"/>
      <c r="J244" s="4"/>
    </row>
    <row r="245" spans="8:10" hidden="1" x14ac:dyDescent="0.25">
      <c r="H245" s="4"/>
      <c r="I245" s="4"/>
      <c r="J245" s="4"/>
    </row>
    <row r="246" spans="8:10" hidden="1" x14ac:dyDescent="0.25">
      <c r="H246" s="4"/>
      <c r="I246" s="4"/>
      <c r="J246" s="4"/>
    </row>
    <row r="247" spans="8:10" hidden="1" x14ac:dyDescent="0.25">
      <c r="H247" s="4"/>
      <c r="I247" s="4"/>
      <c r="J247" s="4"/>
    </row>
    <row r="248" spans="8:10" hidden="1" x14ac:dyDescent="0.25">
      <c r="H248" s="4"/>
      <c r="I248" s="4"/>
      <c r="J248" s="4"/>
    </row>
    <row r="249" spans="8:10" hidden="1" x14ac:dyDescent="0.25">
      <c r="H249" s="4"/>
      <c r="I249" s="4"/>
      <c r="J249" s="4"/>
    </row>
    <row r="250" spans="8:10" hidden="1" x14ac:dyDescent="0.25">
      <c r="H250" s="4"/>
      <c r="I250" s="4"/>
      <c r="J250" s="4"/>
    </row>
    <row r="251" spans="8:10" hidden="1" x14ac:dyDescent="0.25">
      <c r="H251" s="4"/>
      <c r="I251" s="4"/>
      <c r="J251" s="4"/>
    </row>
    <row r="252" spans="8:10" hidden="1" x14ac:dyDescent="0.25">
      <c r="H252" s="4"/>
      <c r="I252" s="4"/>
      <c r="J252" s="4"/>
    </row>
    <row r="253" spans="8:10" hidden="1" x14ac:dyDescent="0.25">
      <c r="H253" s="4"/>
      <c r="I253" s="4"/>
      <c r="J253" s="4"/>
    </row>
    <row r="254" spans="8:10" hidden="1" x14ac:dyDescent="0.25">
      <c r="H254" s="4"/>
      <c r="I254" s="4"/>
      <c r="J254" s="4"/>
    </row>
    <row r="255" spans="8:10" hidden="1" x14ac:dyDescent="0.25">
      <c r="H255" s="4"/>
      <c r="I255" s="4"/>
      <c r="J255" s="4"/>
    </row>
    <row r="256" spans="8:10" hidden="1" x14ac:dyDescent="0.25">
      <c r="H256" s="4"/>
      <c r="I256" s="4"/>
      <c r="J256" s="4"/>
    </row>
    <row r="257" spans="8:10" hidden="1" x14ac:dyDescent="0.25">
      <c r="H257" s="4"/>
      <c r="I257" s="4"/>
      <c r="J257" s="4"/>
    </row>
    <row r="258" spans="8:10" hidden="1" x14ac:dyDescent="0.25">
      <c r="H258" s="4"/>
      <c r="I258" s="4"/>
      <c r="J258" s="4"/>
    </row>
    <row r="259" spans="8:10" hidden="1" x14ac:dyDescent="0.25">
      <c r="H259" s="4"/>
      <c r="I259" s="4"/>
      <c r="J259" s="4"/>
    </row>
    <row r="260" spans="8:10" hidden="1" x14ac:dyDescent="0.25">
      <c r="H260" s="4"/>
      <c r="I260" s="4"/>
      <c r="J260" s="4"/>
    </row>
    <row r="261" spans="8:10" hidden="1" x14ac:dyDescent="0.25">
      <c r="H261" s="4"/>
      <c r="I261" s="4"/>
      <c r="J261" s="4"/>
    </row>
    <row r="262" spans="8:10" hidden="1" x14ac:dyDescent="0.25">
      <c r="H262" s="4"/>
      <c r="I262" s="4"/>
      <c r="J262" s="4"/>
    </row>
    <row r="263" spans="8:10" hidden="1" x14ac:dyDescent="0.25">
      <c r="H263" s="4"/>
      <c r="I263" s="4"/>
      <c r="J263" s="4"/>
    </row>
    <row r="264" spans="8:10" hidden="1" x14ac:dyDescent="0.25">
      <c r="H264" s="4"/>
      <c r="I264" s="4"/>
      <c r="J264" s="4"/>
    </row>
    <row r="265" spans="8:10" hidden="1" x14ac:dyDescent="0.25">
      <c r="H265" s="4"/>
      <c r="I265" s="4"/>
      <c r="J265" s="4"/>
    </row>
    <row r="266" spans="8:10" hidden="1" x14ac:dyDescent="0.25">
      <c r="H266" s="4"/>
      <c r="I266" s="4"/>
      <c r="J266" s="4"/>
    </row>
    <row r="267" spans="8:10" hidden="1" x14ac:dyDescent="0.25">
      <c r="H267" s="4"/>
      <c r="I267" s="4"/>
      <c r="J267" s="4"/>
    </row>
    <row r="268" spans="8:10" hidden="1" x14ac:dyDescent="0.25">
      <c r="H268" s="4"/>
      <c r="I268" s="4"/>
      <c r="J268" s="4"/>
    </row>
    <row r="269" spans="8:10" hidden="1" x14ac:dyDescent="0.25">
      <c r="H269" s="4"/>
      <c r="I269" s="4"/>
      <c r="J269" s="4"/>
    </row>
    <row r="270" spans="8:10" hidden="1" x14ac:dyDescent="0.25">
      <c r="H270" s="4"/>
      <c r="I270" s="4"/>
      <c r="J270" s="4"/>
    </row>
    <row r="271" spans="8:10" hidden="1" x14ac:dyDescent="0.25">
      <c r="H271" s="4"/>
      <c r="I271" s="4"/>
      <c r="J271" s="4"/>
    </row>
    <row r="272" spans="8:10" hidden="1" x14ac:dyDescent="0.25">
      <c r="H272" s="4"/>
      <c r="I272" s="4"/>
      <c r="J272" s="4"/>
    </row>
    <row r="273" spans="8:10" hidden="1" x14ac:dyDescent="0.25">
      <c r="H273" s="4"/>
      <c r="I273" s="4"/>
      <c r="J273" s="4"/>
    </row>
    <row r="274" spans="8:10" hidden="1" x14ac:dyDescent="0.25">
      <c r="H274" s="4"/>
      <c r="I274" s="4"/>
      <c r="J274" s="4"/>
    </row>
    <row r="275" spans="8:10" hidden="1" x14ac:dyDescent="0.25">
      <c r="H275" s="4"/>
      <c r="I275" s="4"/>
      <c r="J275" s="4"/>
    </row>
    <row r="276" spans="8:10" hidden="1" x14ac:dyDescent="0.25">
      <c r="H276" s="4"/>
      <c r="I276" s="4"/>
      <c r="J276" s="4"/>
    </row>
    <row r="277" spans="8:10" hidden="1" x14ac:dyDescent="0.25">
      <c r="H277" s="4"/>
      <c r="I277" s="4"/>
      <c r="J277" s="4"/>
    </row>
    <row r="278" spans="8:10" hidden="1" x14ac:dyDescent="0.25">
      <c r="H278" s="4"/>
      <c r="I278" s="4"/>
      <c r="J278" s="4"/>
    </row>
    <row r="279" spans="8:10" hidden="1" x14ac:dyDescent="0.25">
      <c r="H279" s="4"/>
      <c r="I279" s="4"/>
      <c r="J279" s="4"/>
    </row>
    <row r="280" spans="8:10" hidden="1" x14ac:dyDescent="0.25">
      <c r="H280" s="4"/>
      <c r="I280" s="4"/>
      <c r="J280" s="4"/>
    </row>
    <row r="281" spans="8:10" hidden="1" x14ac:dyDescent="0.25">
      <c r="H281" s="4"/>
      <c r="I281" s="4"/>
      <c r="J281" s="4"/>
    </row>
    <row r="282" spans="8:10" hidden="1" x14ac:dyDescent="0.25">
      <c r="H282" s="4"/>
      <c r="I282" s="4"/>
      <c r="J282" s="4"/>
    </row>
    <row r="283" spans="8:10" hidden="1" x14ac:dyDescent="0.25">
      <c r="H283" s="4"/>
      <c r="I283" s="4"/>
      <c r="J283" s="4"/>
    </row>
    <row r="284" spans="8:10" hidden="1" x14ac:dyDescent="0.25">
      <c r="H284" s="4"/>
      <c r="I284" s="4"/>
      <c r="J284" s="4"/>
    </row>
    <row r="285" spans="8:10" hidden="1" x14ac:dyDescent="0.25">
      <c r="H285" s="4"/>
      <c r="I285" s="4"/>
      <c r="J285" s="4"/>
    </row>
    <row r="286" spans="8:10" hidden="1" x14ac:dyDescent="0.25">
      <c r="H286" s="4"/>
      <c r="I286" s="4"/>
      <c r="J286" s="4"/>
    </row>
    <row r="287" spans="8:10" hidden="1" x14ac:dyDescent="0.25">
      <c r="H287" s="4"/>
      <c r="I287" s="4"/>
      <c r="J287" s="4"/>
    </row>
    <row r="288" spans="8:10" hidden="1" x14ac:dyDescent="0.25">
      <c r="H288" s="4"/>
      <c r="I288" s="4"/>
      <c r="J288" s="4"/>
    </row>
    <row r="289" spans="8:10" hidden="1" x14ac:dyDescent="0.25">
      <c r="H289" s="4"/>
      <c r="I289" s="4"/>
      <c r="J289" s="4"/>
    </row>
    <row r="290" spans="8:10" hidden="1" x14ac:dyDescent="0.25">
      <c r="H290" s="4"/>
      <c r="I290" s="4"/>
      <c r="J290" s="4"/>
    </row>
    <row r="291" spans="8:10" hidden="1" x14ac:dyDescent="0.25">
      <c r="H291" s="4"/>
      <c r="I291" s="4"/>
      <c r="J291" s="4"/>
    </row>
    <row r="292" spans="8:10" hidden="1" x14ac:dyDescent="0.25">
      <c r="H292" s="4"/>
      <c r="I292" s="4"/>
      <c r="J292" s="4"/>
    </row>
    <row r="293" spans="8:10" hidden="1" x14ac:dyDescent="0.25">
      <c r="H293" s="4"/>
      <c r="I293" s="4"/>
      <c r="J293" s="4"/>
    </row>
    <row r="294" spans="8:10" hidden="1" x14ac:dyDescent="0.25">
      <c r="H294" s="4"/>
      <c r="I294" s="4"/>
      <c r="J294" s="4"/>
    </row>
    <row r="295" spans="8:10" hidden="1" x14ac:dyDescent="0.25">
      <c r="H295" s="4"/>
      <c r="I295" s="4"/>
      <c r="J295" s="4"/>
    </row>
    <row r="296" spans="8:10" hidden="1" x14ac:dyDescent="0.25">
      <c r="H296" s="4"/>
      <c r="I296" s="4"/>
      <c r="J296" s="4"/>
    </row>
    <row r="297" spans="8:10" hidden="1" x14ac:dyDescent="0.25">
      <c r="H297" s="4"/>
      <c r="I297" s="4"/>
      <c r="J297" s="4"/>
    </row>
    <row r="298" spans="8:10" hidden="1" x14ac:dyDescent="0.25">
      <c r="H298" s="4"/>
      <c r="I298" s="4"/>
      <c r="J298" s="4"/>
    </row>
    <row r="299" spans="8:10" hidden="1" x14ac:dyDescent="0.25">
      <c r="H299" s="4"/>
      <c r="I299" s="4"/>
      <c r="J299" s="4"/>
    </row>
    <row r="300" spans="8:10" hidden="1" x14ac:dyDescent="0.25">
      <c r="H300" s="4"/>
      <c r="I300" s="4"/>
      <c r="J300" s="4"/>
    </row>
    <row r="301" spans="8:10" hidden="1" x14ac:dyDescent="0.25">
      <c r="H301" s="4"/>
      <c r="I301" s="4"/>
      <c r="J301" s="4"/>
    </row>
    <row r="302" spans="8:10" hidden="1" x14ac:dyDescent="0.25">
      <c r="H302" s="4"/>
      <c r="I302" s="4"/>
      <c r="J302" s="4"/>
    </row>
    <row r="303" spans="8:10" hidden="1" x14ac:dyDescent="0.25">
      <c r="H303" s="4"/>
      <c r="I303" s="4"/>
      <c r="J303" s="4"/>
    </row>
    <row r="304" spans="8:10" hidden="1" x14ac:dyDescent="0.25">
      <c r="H304" s="4"/>
      <c r="I304" s="4"/>
      <c r="J304" s="4"/>
    </row>
    <row r="305" spans="8:10" hidden="1" x14ac:dyDescent="0.25">
      <c r="H305" s="4"/>
      <c r="I305" s="4"/>
      <c r="J305" s="4"/>
    </row>
    <row r="306" spans="8:10" hidden="1" x14ac:dyDescent="0.25">
      <c r="H306" s="4"/>
      <c r="I306" s="4"/>
      <c r="J306" s="4"/>
    </row>
    <row r="307" spans="8:10" hidden="1" x14ac:dyDescent="0.25">
      <c r="H307" s="4"/>
      <c r="I307" s="4"/>
      <c r="J307" s="4"/>
    </row>
    <row r="308" spans="8:10" hidden="1" x14ac:dyDescent="0.25">
      <c r="H308" s="4"/>
      <c r="I308" s="4"/>
      <c r="J308" s="4"/>
    </row>
    <row r="309" spans="8:10" hidden="1" x14ac:dyDescent="0.25">
      <c r="H309" s="4"/>
      <c r="I309" s="4"/>
      <c r="J309" s="4"/>
    </row>
    <row r="310" spans="8:10" hidden="1" x14ac:dyDescent="0.25">
      <c r="H310" s="4"/>
      <c r="I310" s="4"/>
      <c r="J310" s="4"/>
    </row>
    <row r="311" spans="8:10" hidden="1" x14ac:dyDescent="0.25">
      <c r="H311" s="4"/>
      <c r="I311" s="4"/>
      <c r="J311" s="4"/>
    </row>
    <row r="312" spans="8:10" hidden="1" x14ac:dyDescent="0.25">
      <c r="H312" s="4"/>
      <c r="I312" s="4"/>
      <c r="J312" s="4"/>
    </row>
    <row r="313" spans="8:10" hidden="1" x14ac:dyDescent="0.25">
      <c r="H313" s="4"/>
      <c r="I313" s="4"/>
      <c r="J313" s="4"/>
    </row>
    <row r="314" spans="8:10" hidden="1" x14ac:dyDescent="0.25">
      <c r="H314" s="4"/>
      <c r="I314" s="4"/>
      <c r="J314" s="4"/>
    </row>
    <row r="315" spans="8:10" hidden="1" x14ac:dyDescent="0.25">
      <c r="H315" s="4"/>
      <c r="I315" s="4"/>
      <c r="J315" s="4"/>
    </row>
    <row r="316" spans="8:10" hidden="1" x14ac:dyDescent="0.25">
      <c r="H316" s="4"/>
      <c r="I316" s="4"/>
      <c r="J316" s="4"/>
    </row>
    <row r="317" spans="8:10" hidden="1" x14ac:dyDescent="0.25">
      <c r="H317" s="4"/>
      <c r="I317" s="4"/>
      <c r="J317" s="4"/>
    </row>
    <row r="318" spans="8:10" hidden="1" x14ac:dyDescent="0.25">
      <c r="H318" s="4"/>
      <c r="I318" s="4"/>
      <c r="J318" s="4"/>
    </row>
    <row r="319" spans="8:10" hidden="1" x14ac:dyDescent="0.25">
      <c r="H319" s="4"/>
      <c r="I319" s="4"/>
      <c r="J319" s="4"/>
    </row>
    <row r="320" spans="8:10" hidden="1" x14ac:dyDescent="0.25">
      <c r="H320" s="4"/>
      <c r="I320" s="4"/>
      <c r="J320" s="4"/>
    </row>
    <row r="321" spans="8:10" hidden="1" x14ac:dyDescent="0.25">
      <c r="H321" s="4"/>
      <c r="I321" s="4"/>
      <c r="J321" s="4"/>
    </row>
    <row r="322" spans="8:10" hidden="1" x14ac:dyDescent="0.25">
      <c r="H322" s="4"/>
      <c r="I322" s="4"/>
      <c r="J322" s="4"/>
    </row>
    <row r="323" spans="8:10" hidden="1" x14ac:dyDescent="0.25">
      <c r="H323" s="4"/>
      <c r="I323" s="4"/>
      <c r="J323" s="4"/>
    </row>
    <row r="324" spans="8:10" hidden="1" x14ac:dyDescent="0.25">
      <c r="H324" s="4"/>
      <c r="I324" s="4"/>
      <c r="J324" s="4"/>
    </row>
    <row r="325" spans="8:10" hidden="1" x14ac:dyDescent="0.25">
      <c r="H325" s="4"/>
      <c r="I325" s="4"/>
      <c r="J325" s="4"/>
    </row>
    <row r="326" spans="8:10" hidden="1" x14ac:dyDescent="0.25">
      <c r="H326" s="4"/>
      <c r="I326" s="4"/>
      <c r="J326" s="4"/>
    </row>
    <row r="327" spans="8:10" hidden="1" x14ac:dyDescent="0.25">
      <c r="H327" s="4"/>
      <c r="I327" s="4"/>
      <c r="J327" s="4"/>
    </row>
    <row r="328" spans="8:10" hidden="1" x14ac:dyDescent="0.25">
      <c r="H328" s="4"/>
      <c r="I328" s="4"/>
      <c r="J328" s="4"/>
    </row>
    <row r="329" spans="8:10" hidden="1" x14ac:dyDescent="0.25">
      <c r="H329" s="4"/>
      <c r="I329" s="4"/>
      <c r="J329" s="4"/>
    </row>
    <row r="330" spans="8:10" hidden="1" x14ac:dyDescent="0.25">
      <c r="H330" s="4"/>
      <c r="I330" s="4"/>
      <c r="J330" s="4"/>
    </row>
    <row r="331" spans="8:10" hidden="1" x14ac:dyDescent="0.25">
      <c r="H331" s="4"/>
      <c r="I331" s="4"/>
      <c r="J331" s="4"/>
    </row>
    <row r="332" spans="8:10" hidden="1" x14ac:dyDescent="0.25">
      <c r="H332" s="4"/>
      <c r="I332" s="4"/>
      <c r="J332" s="4"/>
    </row>
    <row r="333" spans="8:10" hidden="1" x14ac:dyDescent="0.25">
      <c r="H333" s="4"/>
      <c r="I333" s="4"/>
      <c r="J333" s="4"/>
    </row>
    <row r="334" spans="8:10" hidden="1" x14ac:dyDescent="0.25">
      <c r="H334" s="4"/>
      <c r="I334" s="4"/>
      <c r="J334" s="4"/>
    </row>
    <row r="335" spans="8:10" hidden="1" x14ac:dyDescent="0.25">
      <c r="H335" s="4"/>
      <c r="I335" s="4"/>
      <c r="J335" s="4"/>
    </row>
    <row r="336" spans="8:10" hidden="1" x14ac:dyDescent="0.25">
      <c r="H336" s="4"/>
      <c r="I336" s="4"/>
      <c r="J336" s="4"/>
    </row>
    <row r="337" spans="8:10" hidden="1" x14ac:dyDescent="0.25">
      <c r="H337" s="4"/>
      <c r="I337" s="4"/>
      <c r="J337" s="4"/>
    </row>
    <row r="338" spans="8:10" hidden="1" x14ac:dyDescent="0.25">
      <c r="H338" s="4"/>
      <c r="I338" s="4"/>
      <c r="J338" s="4"/>
    </row>
    <row r="339" spans="8:10" hidden="1" x14ac:dyDescent="0.25">
      <c r="H339" s="4"/>
      <c r="I339" s="4"/>
      <c r="J339" s="4"/>
    </row>
    <row r="340" spans="8:10" hidden="1" x14ac:dyDescent="0.25">
      <c r="H340" s="4"/>
      <c r="I340" s="4"/>
      <c r="J340" s="4"/>
    </row>
    <row r="341" spans="8:10" hidden="1" x14ac:dyDescent="0.25">
      <c r="H341" s="4"/>
      <c r="I341" s="4"/>
      <c r="J341" s="4"/>
    </row>
    <row r="342" spans="8:10" hidden="1" x14ac:dyDescent="0.25">
      <c r="H342" s="4"/>
      <c r="I342" s="4"/>
      <c r="J342" s="4"/>
    </row>
    <row r="343" spans="8:10" hidden="1" x14ac:dyDescent="0.25">
      <c r="H343" s="4"/>
      <c r="I343" s="4"/>
      <c r="J343" s="4"/>
    </row>
    <row r="344" spans="8:10" hidden="1" x14ac:dyDescent="0.25">
      <c r="H344" s="4"/>
      <c r="I344" s="4"/>
      <c r="J344" s="4"/>
    </row>
    <row r="345" spans="8:10" hidden="1" x14ac:dyDescent="0.25">
      <c r="H345" s="4"/>
      <c r="I345" s="4"/>
      <c r="J345" s="4"/>
    </row>
    <row r="346" spans="8:10" hidden="1" x14ac:dyDescent="0.25">
      <c r="H346" s="4"/>
      <c r="I346" s="4"/>
      <c r="J346" s="4"/>
    </row>
    <row r="347" spans="8:10" hidden="1" x14ac:dyDescent="0.25">
      <c r="H347" s="4"/>
      <c r="I347" s="4"/>
      <c r="J347" s="4"/>
    </row>
    <row r="348" spans="8:10" hidden="1" x14ac:dyDescent="0.25">
      <c r="H348" s="4"/>
      <c r="I348" s="4"/>
      <c r="J348" s="4"/>
    </row>
    <row r="349" spans="8:10" hidden="1" x14ac:dyDescent="0.25">
      <c r="H349" s="4"/>
      <c r="I349" s="4"/>
      <c r="J349" s="4"/>
    </row>
    <row r="350" spans="8:10" hidden="1" x14ac:dyDescent="0.25">
      <c r="H350" s="4"/>
      <c r="I350" s="4"/>
      <c r="J350" s="4"/>
    </row>
    <row r="351" spans="8:10" hidden="1" x14ac:dyDescent="0.25">
      <c r="H351" s="4"/>
      <c r="I351" s="4"/>
      <c r="J351" s="4"/>
    </row>
    <row r="352" spans="8:10" hidden="1" x14ac:dyDescent="0.25">
      <c r="H352" s="4"/>
      <c r="I352" s="4"/>
      <c r="J352" s="4"/>
    </row>
    <row r="353" spans="8:10" hidden="1" x14ac:dyDescent="0.25">
      <c r="H353" s="4"/>
      <c r="I353" s="4"/>
      <c r="J353" s="4"/>
    </row>
    <row r="354" spans="8:10" hidden="1" x14ac:dyDescent="0.25">
      <c r="H354" s="4"/>
      <c r="I354" s="4"/>
      <c r="J354" s="4"/>
    </row>
    <row r="355" spans="8:10" hidden="1" x14ac:dyDescent="0.25">
      <c r="H355" s="4"/>
      <c r="I355" s="4"/>
      <c r="J355" s="4"/>
    </row>
    <row r="356" spans="8:10" hidden="1" x14ac:dyDescent="0.25">
      <c r="H356" s="4"/>
      <c r="I356" s="4"/>
      <c r="J356" s="4"/>
    </row>
    <row r="357" spans="8:10" hidden="1" x14ac:dyDescent="0.25">
      <c r="H357" s="4"/>
      <c r="I357" s="4"/>
      <c r="J357" s="4"/>
    </row>
    <row r="358" spans="8:10" hidden="1" x14ac:dyDescent="0.25">
      <c r="H358" s="4"/>
      <c r="I358" s="4"/>
      <c r="J358" s="4"/>
    </row>
    <row r="359" spans="8:10" hidden="1" x14ac:dyDescent="0.25">
      <c r="H359" s="4"/>
      <c r="I359" s="4"/>
      <c r="J359" s="4"/>
    </row>
    <row r="360" spans="8:10" hidden="1" x14ac:dyDescent="0.25">
      <c r="H360" s="4"/>
      <c r="I360" s="4"/>
      <c r="J360" s="4"/>
    </row>
    <row r="361" spans="8:10" hidden="1" x14ac:dyDescent="0.25">
      <c r="H361" s="4"/>
      <c r="I361" s="4"/>
      <c r="J361" s="4"/>
    </row>
    <row r="362" spans="8:10" hidden="1" x14ac:dyDescent="0.25">
      <c r="H362" s="4"/>
      <c r="I362" s="4"/>
      <c r="J362" s="4"/>
    </row>
    <row r="363" spans="8:10" hidden="1" x14ac:dyDescent="0.25">
      <c r="H363" s="4"/>
      <c r="I363" s="4"/>
      <c r="J363" s="4"/>
    </row>
    <row r="364" spans="8:10" hidden="1" x14ac:dyDescent="0.25">
      <c r="H364" s="4"/>
      <c r="I364" s="4"/>
      <c r="J364" s="4"/>
    </row>
    <row r="365" spans="8:10" hidden="1" x14ac:dyDescent="0.25">
      <c r="H365" s="4"/>
      <c r="I365" s="4"/>
      <c r="J365" s="4"/>
    </row>
    <row r="366" spans="8:10" hidden="1" x14ac:dyDescent="0.25">
      <c r="H366" s="4"/>
      <c r="I366" s="4"/>
      <c r="J366" s="4"/>
    </row>
    <row r="367" spans="8:10" hidden="1" x14ac:dyDescent="0.25">
      <c r="H367" s="4"/>
      <c r="I367" s="4"/>
      <c r="J367" s="4"/>
    </row>
    <row r="368" spans="8:10" hidden="1" x14ac:dyDescent="0.25">
      <c r="H368" s="4"/>
      <c r="I368" s="4"/>
      <c r="J368" s="4"/>
    </row>
    <row r="369" spans="8:10" hidden="1" x14ac:dyDescent="0.25">
      <c r="H369" s="4"/>
      <c r="I369" s="4"/>
      <c r="J369" s="4"/>
    </row>
    <row r="370" spans="8:10" hidden="1" x14ac:dyDescent="0.25">
      <c r="H370" s="4"/>
      <c r="I370" s="4"/>
      <c r="J370" s="4"/>
    </row>
    <row r="371" spans="8:10" hidden="1" x14ac:dyDescent="0.25">
      <c r="H371" s="4"/>
      <c r="I371" s="4"/>
      <c r="J371" s="4"/>
    </row>
    <row r="372" spans="8:10" hidden="1" x14ac:dyDescent="0.25">
      <c r="H372" s="4"/>
      <c r="I372" s="4"/>
      <c r="J372" s="4"/>
    </row>
    <row r="373" spans="8:10" hidden="1" x14ac:dyDescent="0.25">
      <c r="H373" s="4"/>
      <c r="I373" s="4"/>
      <c r="J373" s="4"/>
    </row>
    <row r="374" spans="8:10" hidden="1" x14ac:dyDescent="0.25">
      <c r="H374" s="4"/>
      <c r="I374" s="4"/>
      <c r="J374" s="4"/>
    </row>
    <row r="375" spans="8:10" hidden="1" x14ac:dyDescent="0.25">
      <c r="H375" s="4"/>
      <c r="I375" s="4"/>
      <c r="J375" s="4"/>
    </row>
    <row r="376" spans="8:10" hidden="1" x14ac:dyDescent="0.25">
      <c r="H376" s="4"/>
      <c r="I376" s="4"/>
      <c r="J376" s="4"/>
    </row>
    <row r="377" spans="8:10" hidden="1" x14ac:dyDescent="0.25">
      <c r="H377" s="4"/>
      <c r="I377" s="4"/>
      <c r="J377" s="4"/>
    </row>
    <row r="378" spans="8:10" hidden="1" x14ac:dyDescent="0.25">
      <c r="H378" s="4"/>
      <c r="I378" s="4"/>
      <c r="J378" s="4"/>
    </row>
    <row r="379" spans="8:10" hidden="1" x14ac:dyDescent="0.25">
      <c r="H379" s="4"/>
      <c r="I379" s="4"/>
      <c r="J379" s="4"/>
    </row>
    <row r="380" spans="8:10" hidden="1" x14ac:dyDescent="0.25">
      <c r="H380" s="4"/>
      <c r="I380" s="4"/>
      <c r="J380" s="4"/>
    </row>
    <row r="381" spans="8:10" hidden="1" x14ac:dyDescent="0.25">
      <c r="H381" s="4"/>
      <c r="I381" s="4"/>
      <c r="J381" s="4"/>
    </row>
    <row r="382" spans="8:10" hidden="1" x14ac:dyDescent="0.25">
      <c r="H382" s="4"/>
      <c r="I382" s="4"/>
      <c r="J382" s="4"/>
    </row>
    <row r="383" spans="8:10" hidden="1" x14ac:dyDescent="0.25">
      <c r="H383" s="4"/>
      <c r="I383" s="4"/>
      <c r="J383" s="4"/>
    </row>
    <row r="384" spans="8:10" hidden="1" x14ac:dyDescent="0.25">
      <c r="H384" s="4"/>
      <c r="I384" s="4"/>
      <c r="J384" s="4"/>
    </row>
    <row r="385" spans="8:10" hidden="1" x14ac:dyDescent="0.25">
      <c r="H385" s="4"/>
      <c r="I385" s="4"/>
      <c r="J385" s="4"/>
    </row>
    <row r="386" spans="8:10" hidden="1" x14ac:dyDescent="0.25">
      <c r="H386" s="4"/>
      <c r="I386" s="4"/>
      <c r="J386" s="4"/>
    </row>
    <row r="387" spans="8:10" hidden="1" x14ac:dyDescent="0.25">
      <c r="H387" s="4"/>
      <c r="I387" s="4"/>
      <c r="J387" s="4"/>
    </row>
    <row r="388" spans="8:10" hidden="1" x14ac:dyDescent="0.25">
      <c r="H388" s="4"/>
      <c r="I388" s="4"/>
      <c r="J388" s="4"/>
    </row>
    <row r="389" spans="8:10" hidden="1" x14ac:dyDescent="0.25">
      <c r="H389" s="4"/>
      <c r="I389" s="4"/>
      <c r="J389" s="4"/>
    </row>
    <row r="390" spans="8:10" hidden="1" x14ac:dyDescent="0.25">
      <c r="H390" s="4"/>
      <c r="I390" s="4"/>
      <c r="J390" s="4"/>
    </row>
    <row r="391" spans="8:10" hidden="1" x14ac:dyDescent="0.25">
      <c r="H391" s="4"/>
      <c r="I391" s="4"/>
      <c r="J391" s="4"/>
    </row>
    <row r="392" spans="8:10" hidden="1" x14ac:dyDescent="0.25">
      <c r="H392" s="4"/>
      <c r="I392" s="4"/>
      <c r="J392" s="4"/>
    </row>
    <row r="393" spans="8:10" hidden="1" x14ac:dyDescent="0.25">
      <c r="H393" s="4"/>
      <c r="I393" s="4"/>
      <c r="J393" s="4"/>
    </row>
    <row r="394" spans="8:10" hidden="1" x14ac:dyDescent="0.25">
      <c r="H394" s="4"/>
      <c r="I394" s="4"/>
      <c r="J394" s="4"/>
    </row>
    <row r="395" spans="8:10" hidden="1" x14ac:dyDescent="0.25">
      <c r="H395" s="4"/>
      <c r="I395" s="4"/>
      <c r="J395" s="4"/>
    </row>
    <row r="396" spans="8:10" hidden="1" x14ac:dyDescent="0.25">
      <c r="H396" s="4"/>
      <c r="I396" s="4"/>
      <c r="J396" s="4"/>
    </row>
    <row r="397" spans="8:10" hidden="1" x14ac:dyDescent="0.25">
      <c r="H397" s="4"/>
      <c r="I397" s="4"/>
      <c r="J397" s="4"/>
    </row>
    <row r="398" spans="8:10" hidden="1" x14ac:dyDescent="0.25">
      <c r="H398" s="4"/>
      <c r="I398" s="4"/>
      <c r="J398" s="4"/>
    </row>
    <row r="399" spans="8:10" hidden="1" x14ac:dyDescent="0.25">
      <c r="H399" s="4"/>
      <c r="I399" s="4"/>
      <c r="J399" s="4"/>
    </row>
    <row r="400" spans="8:10" hidden="1" x14ac:dyDescent="0.25">
      <c r="H400" s="4"/>
      <c r="I400" s="4"/>
      <c r="J400" s="4"/>
    </row>
    <row r="401" spans="8:10" hidden="1" x14ac:dyDescent="0.25">
      <c r="H401" s="4"/>
      <c r="I401" s="4"/>
      <c r="J401" s="4"/>
    </row>
    <row r="402" spans="8:10" hidden="1" x14ac:dyDescent="0.25">
      <c r="H402" s="4"/>
      <c r="I402" s="4"/>
      <c r="J402" s="4"/>
    </row>
    <row r="403" spans="8:10" hidden="1" x14ac:dyDescent="0.25">
      <c r="H403" s="4"/>
      <c r="I403" s="4"/>
      <c r="J403" s="4"/>
    </row>
    <row r="404" spans="8:10" hidden="1" x14ac:dyDescent="0.25">
      <c r="H404" s="4"/>
      <c r="I404" s="4"/>
      <c r="J404" s="4"/>
    </row>
    <row r="405" spans="8:10" hidden="1" x14ac:dyDescent="0.25">
      <c r="H405" s="4"/>
      <c r="I405" s="4"/>
      <c r="J405" s="4"/>
    </row>
    <row r="406" spans="8:10" hidden="1" x14ac:dyDescent="0.25">
      <c r="H406" s="4"/>
      <c r="I406" s="4"/>
      <c r="J406" s="4"/>
    </row>
    <row r="407" spans="8:10" hidden="1" x14ac:dyDescent="0.25">
      <c r="H407" s="4"/>
      <c r="I407" s="4"/>
      <c r="J407" s="4"/>
    </row>
    <row r="408" spans="8:10" hidden="1" x14ac:dyDescent="0.25">
      <c r="H408" s="4"/>
      <c r="I408" s="4"/>
      <c r="J408" s="4"/>
    </row>
    <row r="409" spans="8:10" hidden="1" x14ac:dyDescent="0.25">
      <c r="H409" s="4"/>
      <c r="I409" s="4"/>
      <c r="J409" s="4"/>
    </row>
    <row r="410" spans="8:10" hidden="1" x14ac:dyDescent="0.25">
      <c r="H410" s="4"/>
      <c r="I410" s="4"/>
      <c r="J410" s="4"/>
    </row>
    <row r="411" spans="8:10" hidden="1" x14ac:dyDescent="0.25">
      <c r="H411" s="4"/>
      <c r="I411" s="4"/>
      <c r="J411" s="4"/>
    </row>
    <row r="412" spans="8:10" hidden="1" x14ac:dyDescent="0.25">
      <c r="H412" s="4"/>
      <c r="I412" s="4"/>
      <c r="J412" s="4"/>
    </row>
    <row r="413" spans="8:10" hidden="1" x14ac:dyDescent="0.25">
      <c r="H413" s="4"/>
      <c r="I413" s="4"/>
      <c r="J413" s="4"/>
    </row>
    <row r="414" spans="8:10" hidden="1" x14ac:dyDescent="0.25">
      <c r="H414" s="4"/>
      <c r="I414" s="4"/>
      <c r="J414" s="4"/>
    </row>
    <row r="415" spans="8:10" hidden="1" x14ac:dyDescent="0.25">
      <c r="H415" s="4"/>
      <c r="I415" s="4"/>
      <c r="J415" s="4"/>
    </row>
    <row r="416" spans="8:10" hidden="1" x14ac:dyDescent="0.25">
      <c r="H416" s="4"/>
      <c r="I416" s="4"/>
      <c r="J416" s="4"/>
    </row>
    <row r="417" spans="8:10" hidden="1" x14ac:dyDescent="0.25">
      <c r="H417" s="4"/>
      <c r="I417" s="4"/>
      <c r="J417" s="4"/>
    </row>
    <row r="418" spans="8:10" hidden="1" x14ac:dyDescent="0.25">
      <c r="H418" s="4"/>
      <c r="I418" s="4"/>
      <c r="J418" s="4"/>
    </row>
    <row r="419" spans="8:10" hidden="1" x14ac:dyDescent="0.25">
      <c r="H419" s="4"/>
      <c r="I419" s="4"/>
      <c r="J419" s="4"/>
    </row>
    <row r="420" spans="8:10" hidden="1" x14ac:dyDescent="0.25">
      <c r="H420" s="4"/>
      <c r="I420" s="4"/>
      <c r="J420" s="4"/>
    </row>
    <row r="421" spans="8:10" hidden="1" x14ac:dyDescent="0.25">
      <c r="H421" s="4"/>
      <c r="I421" s="4"/>
      <c r="J421" s="4"/>
    </row>
    <row r="422" spans="8:10" hidden="1" x14ac:dyDescent="0.25">
      <c r="H422" s="4"/>
      <c r="I422" s="4"/>
      <c r="J422" s="4"/>
    </row>
    <row r="423" spans="8:10" hidden="1" x14ac:dyDescent="0.25">
      <c r="H423" s="4"/>
      <c r="I423" s="4"/>
      <c r="J423" s="4"/>
    </row>
    <row r="424" spans="8:10" hidden="1" x14ac:dyDescent="0.25">
      <c r="H424" s="4"/>
      <c r="I424" s="4"/>
      <c r="J424" s="4"/>
    </row>
    <row r="425" spans="8:10" hidden="1" x14ac:dyDescent="0.25">
      <c r="H425" s="4"/>
      <c r="I425" s="4"/>
      <c r="J425" s="4"/>
    </row>
    <row r="426" spans="8:10" hidden="1" x14ac:dyDescent="0.25">
      <c r="H426" s="4"/>
      <c r="I426" s="4"/>
      <c r="J426" s="4"/>
    </row>
    <row r="427" spans="8:10" hidden="1" x14ac:dyDescent="0.25">
      <c r="H427" s="4"/>
      <c r="I427" s="4"/>
      <c r="J427" s="4"/>
    </row>
    <row r="428" spans="8:10" hidden="1" x14ac:dyDescent="0.25">
      <c r="H428" s="4"/>
      <c r="I428" s="4"/>
      <c r="J428" s="4"/>
    </row>
    <row r="429" spans="8:10" hidden="1" x14ac:dyDescent="0.25">
      <c r="H429" s="4"/>
      <c r="I429" s="4"/>
      <c r="J429" s="4"/>
    </row>
    <row r="430" spans="8:10" hidden="1" x14ac:dyDescent="0.25">
      <c r="H430" s="4"/>
      <c r="I430" s="4"/>
      <c r="J430" s="4"/>
    </row>
    <row r="431" spans="8:10" hidden="1" x14ac:dyDescent="0.25">
      <c r="H431" s="4"/>
      <c r="I431" s="4"/>
      <c r="J431" s="4"/>
    </row>
    <row r="432" spans="8:10" hidden="1" x14ac:dyDescent="0.25">
      <c r="H432" s="4"/>
      <c r="I432" s="4"/>
      <c r="J432" s="4"/>
    </row>
    <row r="433" spans="8:10" hidden="1" x14ac:dyDescent="0.25">
      <c r="H433" s="4"/>
      <c r="I433" s="4"/>
      <c r="J433" s="4"/>
    </row>
    <row r="434" spans="8:10" hidden="1" x14ac:dyDescent="0.25">
      <c r="H434" s="4"/>
      <c r="I434" s="4"/>
      <c r="J434" s="4"/>
    </row>
    <row r="435" spans="8:10" hidden="1" x14ac:dyDescent="0.25">
      <c r="H435" s="4"/>
      <c r="I435" s="4"/>
      <c r="J435" s="4"/>
    </row>
    <row r="436" spans="8:10" hidden="1" x14ac:dyDescent="0.25">
      <c r="H436" s="4"/>
      <c r="I436" s="4"/>
      <c r="J436" s="4"/>
    </row>
    <row r="437" spans="8:10" hidden="1" x14ac:dyDescent="0.25">
      <c r="H437" s="4"/>
      <c r="I437" s="4"/>
      <c r="J437" s="4"/>
    </row>
    <row r="438" spans="8:10" hidden="1" x14ac:dyDescent="0.25">
      <c r="H438" s="4"/>
      <c r="I438" s="4"/>
      <c r="J438" s="4"/>
    </row>
    <row r="439" spans="8:10" hidden="1" x14ac:dyDescent="0.25">
      <c r="H439" s="4"/>
      <c r="I439" s="4"/>
      <c r="J439" s="4"/>
    </row>
    <row r="440" spans="8:10" hidden="1" x14ac:dyDescent="0.25">
      <c r="H440" s="4"/>
      <c r="I440" s="4"/>
      <c r="J440" s="4"/>
    </row>
    <row r="441" spans="8:10" hidden="1" x14ac:dyDescent="0.25">
      <c r="H441" s="4"/>
      <c r="I441" s="4"/>
      <c r="J441" s="4"/>
    </row>
    <row r="442" spans="8:10" hidden="1" x14ac:dyDescent="0.25">
      <c r="H442" s="4"/>
      <c r="I442" s="4"/>
      <c r="J442" s="4"/>
    </row>
    <row r="443" spans="8:10" hidden="1" x14ac:dyDescent="0.25">
      <c r="H443" s="4"/>
      <c r="I443" s="4"/>
      <c r="J443" s="4"/>
    </row>
    <row r="444" spans="8:10" hidden="1" x14ac:dyDescent="0.25">
      <c r="H444" s="4"/>
      <c r="I444" s="4"/>
      <c r="J444" s="4"/>
    </row>
    <row r="445" spans="8:10" hidden="1" x14ac:dyDescent="0.25">
      <c r="H445" s="4"/>
      <c r="I445" s="4"/>
      <c r="J445" s="4"/>
    </row>
    <row r="446" spans="8:10" hidden="1" x14ac:dyDescent="0.25">
      <c r="H446" s="4"/>
      <c r="I446" s="4"/>
      <c r="J446" s="4"/>
    </row>
    <row r="447" spans="8:10" hidden="1" x14ac:dyDescent="0.25">
      <c r="H447" s="4"/>
      <c r="I447" s="4"/>
      <c r="J447" s="4"/>
    </row>
    <row r="448" spans="8:10" hidden="1" x14ac:dyDescent="0.25">
      <c r="H448" s="4"/>
      <c r="I448" s="4"/>
      <c r="J448" s="4"/>
    </row>
    <row r="449" spans="8:10" hidden="1" x14ac:dyDescent="0.25">
      <c r="H449" s="4"/>
      <c r="I449" s="4"/>
      <c r="J449" s="4"/>
    </row>
    <row r="450" spans="8:10" hidden="1" x14ac:dyDescent="0.25">
      <c r="H450" s="4"/>
      <c r="I450" s="4"/>
      <c r="J450" s="4"/>
    </row>
    <row r="451" spans="8:10" hidden="1" x14ac:dyDescent="0.25">
      <c r="H451" s="4"/>
      <c r="I451" s="4"/>
      <c r="J451" s="4"/>
    </row>
    <row r="452" spans="8:10" hidden="1" x14ac:dyDescent="0.25">
      <c r="H452" s="4"/>
      <c r="I452" s="4"/>
      <c r="J452" s="4"/>
    </row>
    <row r="453" spans="8:10" hidden="1" x14ac:dyDescent="0.25">
      <c r="H453" s="4"/>
      <c r="I453" s="4"/>
      <c r="J453" s="4"/>
    </row>
    <row r="454" spans="8:10" hidden="1" x14ac:dyDescent="0.25">
      <c r="H454" s="4"/>
      <c r="I454" s="4"/>
      <c r="J454" s="4"/>
    </row>
    <row r="455" spans="8:10" hidden="1" x14ac:dyDescent="0.25">
      <c r="H455" s="4"/>
      <c r="I455" s="4"/>
      <c r="J455" s="4"/>
    </row>
    <row r="456" spans="8:10" hidden="1" x14ac:dyDescent="0.25">
      <c r="H456" s="4"/>
      <c r="I456" s="4"/>
      <c r="J456" s="4"/>
    </row>
    <row r="457" spans="8:10" hidden="1" x14ac:dyDescent="0.25">
      <c r="H457" s="4"/>
      <c r="I457" s="4"/>
      <c r="J457" s="4"/>
    </row>
    <row r="458" spans="8:10" hidden="1" x14ac:dyDescent="0.25">
      <c r="H458" s="4"/>
      <c r="I458" s="4"/>
      <c r="J458" s="4"/>
    </row>
    <row r="459" spans="8:10" hidden="1" x14ac:dyDescent="0.25">
      <c r="H459" s="4"/>
      <c r="I459" s="4"/>
      <c r="J459" s="4"/>
    </row>
    <row r="460" spans="8:10" hidden="1" x14ac:dyDescent="0.25">
      <c r="H460" s="4"/>
      <c r="I460" s="4"/>
      <c r="J460" s="4"/>
    </row>
    <row r="461" spans="8:10" hidden="1" x14ac:dyDescent="0.25">
      <c r="H461" s="4"/>
      <c r="I461" s="4"/>
      <c r="J461" s="4"/>
    </row>
    <row r="462" spans="8:10" hidden="1" x14ac:dyDescent="0.25">
      <c r="H462" s="4"/>
      <c r="I462" s="4"/>
      <c r="J462" s="4"/>
    </row>
    <row r="463" spans="8:10" hidden="1" x14ac:dyDescent="0.25">
      <c r="H463" s="4"/>
      <c r="I463" s="4"/>
      <c r="J463" s="4"/>
    </row>
    <row r="464" spans="8:10" hidden="1" x14ac:dyDescent="0.25">
      <c r="H464" s="4"/>
      <c r="I464" s="4"/>
      <c r="J464" s="4"/>
    </row>
    <row r="465" spans="8:10" hidden="1" x14ac:dyDescent="0.25">
      <c r="H465" s="4"/>
      <c r="I465" s="4"/>
      <c r="J465" s="4"/>
    </row>
    <row r="466" spans="8:10" hidden="1" x14ac:dyDescent="0.25">
      <c r="H466" s="4"/>
      <c r="I466" s="4"/>
      <c r="J466" s="4"/>
    </row>
    <row r="467" spans="8:10" hidden="1" x14ac:dyDescent="0.25">
      <c r="H467" s="4"/>
      <c r="I467" s="4"/>
      <c r="J467" s="4"/>
    </row>
    <row r="468" spans="8:10" hidden="1" x14ac:dyDescent="0.25">
      <c r="H468" s="4"/>
      <c r="I468" s="4"/>
      <c r="J468" s="4"/>
    </row>
    <row r="469" spans="8:10" hidden="1" x14ac:dyDescent="0.25">
      <c r="H469" s="4"/>
      <c r="I469" s="4"/>
      <c r="J469" s="4"/>
    </row>
    <row r="470" spans="8:10" hidden="1" x14ac:dyDescent="0.25">
      <c r="H470" s="4"/>
      <c r="I470" s="4"/>
      <c r="J470" s="4"/>
    </row>
    <row r="471" spans="8:10" hidden="1" x14ac:dyDescent="0.25">
      <c r="H471" s="4"/>
      <c r="I471" s="4"/>
      <c r="J471" s="4"/>
    </row>
    <row r="472" spans="8:10" hidden="1" x14ac:dyDescent="0.25">
      <c r="H472" s="4"/>
      <c r="I472" s="4"/>
      <c r="J472" s="4"/>
    </row>
    <row r="473" spans="8:10" hidden="1" x14ac:dyDescent="0.25">
      <c r="H473" s="4"/>
      <c r="I473" s="4"/>
      <c r="J473" s="4"/>
    </row>
    <row r="474" spans="8:10" hidden="1" x14ac:dyDescent="0.25">
      <c r="H474" s="4"/>
      <c r="I474" s="4"/>
      <c r="J474" s="4"/>
    </row>
    <row r="475" spans="8:10" hidden="1" x14ac:dyDescent="0.25">
      <c r="H475" s="4"/>
      <c r="I475" s="4"/>
      <c r="J475" s="4"/>
    </row>
    <row r="476" spans="8:10" hidden="1" x14ac:dyDescent="0.25">
      <c r="H476" s="4"/>
      <c r="I476" s="4"/>
      <c r="J476" s="4"/>
    </row>
    <row r="477" spans="8:10" hidden="1" x14ac:dyDescent="0.25">
      <c r="H477" s="4"/>
      <c r="I477" s="4"/>
      <c r="J477" s="4"/>
    </row>
    <row r="478" spans="8:10" hidden="1" x14ac:dyDescent="0.25">
      <c r="H478" s="4"/>
      <c r="I478" s="4"/>
      <c r="J478" s="4"/>
    </row>
    <row r="479" spans="8:10" hidden="1" x14ac:dyDescent="0.25">
      <c r="H479" s="4"/>
      <c r="I479" s="4"/>
      <c r="J479" s="4"/>
    </row>
    <row r="480" spans="8:10" hidden="1" x14ac:dyDescent="0.25">
      <c r="H480" s="4"/>
      <c r="I480" s="4"/>
      <c r="J480" s="4"/>
    </row>
    <row r="481" spans="8:10" hidden="1" x14ac:dyDescent="0.25">
      <c r="H481" s="4"/>
      <c r="I481" s="4"/>
      <c r="J481" s="4"/>
    </row>
    <row r="482" spans="8:10" hidden="1" x14ac:dyDescent="0.25">
      <c r="H482" s="4"/>
      <c r="I482" s="4"/>
      <c r="J482" s="4"/>
    </row>
    <row r="483" spans="8:10" hidden="1" x14ac:dyDescent="0.25">
      <c r="H483" s="4"/>
      <c r="I483" s="4"/>
      <c r="J483" s="4"/>
    </row>
    <row r="484" spans="8:10" hidden="1" x14ac:dyDescent="0.25">
      <c r="H484" s="4"/>
      <c r="I484" s="4"/>
      <c r="J484" s="4"/>
    </row>
    <row r="485" spans="8:10" hidden="1" x14ac:dyDescent="0.25">
      <c r="H485" s="4"/>
      <c r="I485" s="4"/>
      <c r="J485" s="4"/>
    </row>
    <row r="486" spans="8:10" hidden="1" x14ac:dyDescent="0.25">
      <c r="H486" s="4"/>
      <c r="I486" s="4"/>
      <c r="J486" s="4"/>
    </row>
    <row r="487" spans="8:10" hidden="1" x14ac:dyDescent="0.25">
      <c r="H487" s="4"/>
      <c r="I487" s="4"/>
      <c r="J487" s="4"/>
    </row>
    <row r="488" spans="8:10" hidden="1" x14ac:dyDescent="0.25">
      <c r="H488" s="4"/>
      <c r="I488" s="4"/>
      <c r="J488" s="4"/>
    </row>
    <row r="489" spans="8:10" hidden="1" x14ac:dyDescent="0.25">
      <c r="H489" s="4"/>
      <c r="I489" s="4"/>
      <c r="J489" s="4"/>
    </row>
    <row r="490" spans="8:10" hidden="1" x14ac:dyDescent="0.25">
      <c r="H490" s="4"/>
      <c r="I490" s="4"/>
      <c r="J490" s="4"/>
    </row>
    <row r="491" spans="8:10" hidden="1" x14ac:dyDescent="0.25">
      <c r="H491" s="4"/>
      <c r="I491" s="4"/>
      <c r="J491" s="4"/>
    </row>
    <row r="492" spans="8:10" hidden="1" x14ac:dyDescent="0.25">
      <c r="H492" s="4"/>
      <c r="I492" s="4"/>
      <c r="J492" s="4"/>
    </row>
    <row r="493" spans="8:10" hidden="1" x14ac:dyDescent="0.25">
      <c r="H493" s="4"/>
      <c r="I493" s="4"/>
      <c r="J493" s="4"/>
    </row>
    <row r="494" spans="8:10" hidden="1" x14ac:dyDescent="0.25">
      <c r="H494" s="4"/>
      <c r="I494" s="4"/>
      <c r="J494" s="4"/>
    </row>
    <row r="495" spans="8:10" hidden="1" x14ac:dyDescent="0.25">
      <c r="H495" s="4"/>
      <c r="I495" s="4"/>
      <c r="J495" s="4"/>
    </row>
    <row r="496" spans="8:10" hidden="1" x14ac:dyDescent="0.25">
      <c r="H496" s="4"/>
      <c r="I496" s="4"/>
      <c r="J496" s="4"/>
    </row>
    <row r="497" spans="8:10" hidden="1" x14ac:dyDescent="0.25">
      <c r="H497" s="4"/>
      <c r="I497" s="4"/>
      <c r="J497" s="4"/>
    </row>
    <row r="498" spans="8:10" hidden="1" x14ac:dyDescent="0.25">
      <c r="H498" s="4"/>
      <c r="I498" s="4"/>
      <c r="J498" s="4"/>
    </row>
    <row r="499" spans="8:10" hidden="1" x14ac:dyDescent="0.25">
      <c r="H499" s="4"/>
      <c r="I499" s="4"/>
      <c r="J499" s="4"/>
    </row>
    <row r="500" spans="8:10" hidden="1" x14ac:dyDescent="0.25">
      <c r="H500" s="4"/>
      <c r="I500" s="4"/>
      <c r="J500" s="4"/>
    </row>
    <row r="501" spans="8:10" hidden="1" x14ac:dyDescent="0.25">
      <c r="H501" s="4"/>
      <c r="I501" s="4"/>
      <c r="J501" s="4"/>
    </row>
    <row r="502" spans="8:10" hidden="1" x14ac:dyDescent="0.25">
      <c r="H502" s="4"/>
      <c r="I502" s="4"/>
      <c r="J502" s="4"/>
    </row>
    <row r="503" spans="8:10" hidden="1" x14ac:dyDescent="0.25">
      <c r="H503" s="4"/>
      <c r="I503" s="4"/>
      <c r="J503" s="4"/>
    </row>
    <row r="504" spans="8:10" hidden="1" x14ac:dyDescent="0.25">
      <c r="H504" s="4"/>
      <c r="I504" s="4"/>
      <c r="J504" s="4"/>
    </row>
    <row r="505" spans="8:10" hidden="1" x14ac:dyDescent="0.25">
      <c r="H505" s="4"/>
      <c r="I505" s="4"/>
      <c r="J505" s="4"/>
    </row>
    <row r="506" spans="8:10" hidden="1" x14ac:dyDescent="0.25">
      <c r="H506" s="4"/>
      <c r="I506" s="4"/>
      <c r="J506" s="4"/>
    </row>
    <row r="507" spans="8:10" hidden="1" x14ac:dyDescent="0.25">
      <c r="H507" s="4"/>
      <c r="I507" s="4"/>
      <c r="J507" s="4"/>
    </row>
    <row r="508" spans="8:10" hidden="1" x14ac:dyDescent="0.25">
      <c r="H508" s="4"/>
      <c r="I508" s="4"/>
      <c r="J508" s="4"/>
    </row>
    <row r="509" spans="8:10" hidden="1" x14ac:dyDescent="0.25">
      <c r="H509" s="4"/>
      <c r="I509" s="4"/>
      <c r="J509" s="4"/>
    </row>
    <row r="510" spans="8:10" hidden="1" x14ac:dyDescent="0.25">
      <c r="H510" s="4"/>
      <c r="I510" s="4"/>
      <c r="J510" s="4"/>
    </row>
    <row r="511" spans="8:10" hidden="1" x14ac:dyDescent="0.25">
      <c r="H511" s="4"/>
      <c r="I511" s="4"/>
      <c r="J511" s="4"/>
    </row>
    <row r="512" spans="8:10" hidden="1" x14ac:dyDescent="0.25">
      <c r="H512" s="4"/>
      <c r="I512" s="4"/>
      <c r="J512" s="4"/>
    </row>
    <row r="513" spans="8:10" hidden="1" x14ac:dyDescent="0.25">
      <c r="H513" s="4"/>
      <c r="I513" s="4"/>
      <c r="J513" s="4"/>
    </row>
    <row r="514" spans="8:10" hidden="1" x14ac:dyDescent="0.25">
      <c r="H514" s="4"/>
      <c r="I514" s="4"/>
      <c r="J514" s="4"/>
    </row>
    <row r="515" spans="8:10" hidden="1" x14ac:dyDescent="0.25">
      <c r="H515" s="4"/>
      <c r="I515" s="4"/>
      <c r="J515" s="4"/>
    </row>
    <row r="516" spans="8:10" hidden="1" x14ac:dyDescent="0.25">
      <c r="H516" s="4"/>
      <c r="I516" s="4"/>
      <c r="J516" s="4"/>
    </row>
    <row r="517" spans="8:10" hidden="1" x14ac:dyDescent="0.25">
      <c r="H517" s="4"/>
      <c r="I517" s="4"/>
      <c r="J517" s="4"/>
    </row>
    <row r="518" spans="8:10" hidden="1" x14ac:dyDescent="0.25">
      <c r="H518" s="4"/>
      <c r="I518" s="4"/>
      <c r="J518" s="4"/>
    </row>
    <row r="519" spans="8:10" hidden="1" x14ac:dyDescent="0.25">
      <c r="H519" s="4"/>
      <c r="I519" s="4"/>
      <c r="J519" s="4"/>
    </row>
    <row r="520" spans="8:10" hidden="1" x14ac:dyDescent="0.25">
      <c r="H520" s="4"/>
      <c r="I520" s="4"/>
      <c r="J520" s="4"/>
    </row>
    <row r="521" spans="8:10" hidden="1" x14ac:dyDescent="0.25">
      <c r="H521" s="4"/>
      <c r="I521" s="4"/>
      <c r="J521" s="4"/>
    </row>
    <row r="522" spans="8:10" hidden="1" x14ac:dyDescent="0.25">
      <c r="H522" s="4"/>
      <c r="I522" s="4"/>
      <c r="J522" s="4"/>
    </row>
    <row r="523" spans="8:10" hidden="1" x14ac:dyDescent="0.25">
      <c r="H523" s="4"/>
      <c r="I523" s="4"/>
      <c r="J523" s="4"/>
    </row>
    <row r="524" spans="8:10" hidden="1" x14ac:dyDescent="0.25">
      <c r="H524" s="4"/>
      <c r="I524" s="4"/>
      <c r="J524" s="4"/>
    </row>
    <row r="525" spans="8:10" hidden="1" x14ac:dyDescent="0.25">
      <c r="H525" s="4"/>
      <c r="I525" s="4"/>
      <c r="J525" s="4"/>
    </row>
    <row r="526" spans="8:10" hidden="1" x14ac:dyDescent="0.25">
      <c r="H526" s="4"/>
      <c r="I526" s="4"/>
      <c r="J526" s="4"/>
    </row>
    <row r="527" spans="8:10" hidden="1" x14ac:dyDescent="0.25">
      <c r="H527" s="4"/>
      <c r="I527" s="4"/>
      <c r="J527" s="4"/>
    </row>
    <row r="528" spans="8:10" hidden="1" x14ac:dyDescent="0.25">
      <c r="H528" s="4"/>
      <c r="I528" s="4"/>
      <c r="J528" s="4"/>
    </row>
    <row r="529" spans="8:10" hidden="1" x14ac:dyDescent="0.25">
      <c r="H529" s="4"/>
      <c r="I529" s="4"/>
      <c r="J529" s="4"/>
    </row>
    <row r="530" spans="8:10" hidden="1" x14ac:dyDescent="0.25">
      <c r="H530" s="4"/>
      <c r="I530" s="4"/>
      <c r="J530" s="4"/>
    </row>
    <row r="531" spans="8:10" hidden="1" x14ac:dyDescent="0.25">
      <c r="H531" s="4"/>
      <c r="I531" s="4"/>
      <c r="J531" s="4"/>
    </row>
    <row r="532" spans="8:10" hidden="1" x14ac:dyDescent="0.25">
      <c r="H532" s="4"/>
      <c r="I532" s="4"/>
      <c r="J532" s="4"/>
    </row>
    <row r="533" spans="8:10" hidden="1" x14ac:dyDescent="0.25">
      <c r="H533" s="4"/>
      <c r="I533" s="4"/>
      <c r="J533" s="4"/>
    </row>
    <row r="534" spans="8:10" hidden="1" x14ac:dyDescent="0.25">
      <c r="H534" s="4"/>
      <c r="I534" s="4"/>
      <c r="J534" s="4"/>
    </row>
    <row r="535" spans="8:10" hidden="1" x14ac:dyDescent="0.25">
      <c r="H535" s="4"/>
      <c r="I535" s="4"/>
      <c r="J535" s="4"/>
    </row>
    <row r="536" spans="8:10" hidden="1" x14ac:dyDescent="0.25">
      <c r="H536" s="4"/>
      <c r="I536" s="4"/>
      <c r="J536" s="4"/>
    </row>
    <row r="537" spans="8:10" hidden="1" x14ac:dyDescent="0.25">
      <c r="H537" s="4"/>
      <c r="I537" s="4"/>
      <c r="J537" s="4"/>
    </row>
    <row r="538" spans="8:10" hidden="1" x14ac:dyDescent="0.25">
      <c r="H538" s="4"/>
      <c r="I538" s="4"/>
      <c r="J538" s="4"/>
    </row>
    <row r="539" spans="8:10" hidden="1" x14ac:dyDescent="0.25">
      <c r="H539" s="4"/>
      <c r="I539" s="4"/>
      <c r="J539" s="4"/>
    </row>
    <row r="540" spans="8:10" hidden="1" x14ac:dyDescent="0.25">
      <c r="H540" s="4"/>
      <c r="I540" s="4"/>
      <c r="J540" s="4"/>
    </row>
    <row r="541" spans="8:10" hidden="1" x14ac:dyDescent="0.25">
      <c r="H541" s="4"/>
      <c r="I541" s="4"/>
      <c r="J541" s="4"/>
    </row>
    <row r="542" spans="8:10" hidden="1" x14ac:dyDescent="0.25">
      <c r="H542" s="4"/>
      <c r="I542" s="4"/>
      <c r="J542" s="4"/>
    </row>
    <row r="543" spans="8:10" hidden="1" x14ac:dyDescent="0.25">
      <c r="H543" s="4"/>
      <c r="I543" s="4"/>
      <c r="J543" s="4"/>
    </row>
    <row r="544" spans="8:10" hidden="1" x14ac:dyDescent="0.25">
      <c r="H544" s="4"/>
      <c r="I544" s="4"/>
      <c r="J544" s="4"/>
    </row>
    <row r="545" spans="8:10" hidden="1" x14ac:dyDescent="0.25">
      <c r="H545" s="4"/>
      <c r="I545" s="4"/>
      <c r="J545" s="4"/>
    </row>
    <row r="546" spans="8:10" hidden="1" x14ac:dyDescent="0.25">
      <c r="H546" s="4"/>
      <c r="I546" s="4"/>
      <c r="J546" s="4"/>
    </row>
    <row r="547" spans="8:10" hidden="1" x14ac:dyDescent="0.25">
      <c r="H547" s="4"/>
      <c r="I547" s="4"/>
      <c r="J547" s="4"/>
    </row>
    <row r="548" spans="8:10" hidden="1" x14ac:dyDescent="0.25">
      <c r="H548" s="4"/>
      <c r="I548" s="4"/>
      <c r="J548" s="4"/>
    </row>
    <row r="549" spans="8:10" hidden="1" x14ac:dyDescent="0.25">
      <c r="H549" s="4"/>
      <c r="I549" s="4"/>
      <c r="J549" s="4"/>
    </row>
    <row r="550" spans="8:10" hidden="1" x14ac:dyDescent="0.25">
      <c r="H550" s="4"/>
      <c r="I550" s="4"/>
      <c r="J550" s="4"/>
    </row>
    <row r="551" spans="8:10" hidden="1" x14ac:dyDescent="0.25">
      <c r="H551" s="4"/>
      <c r="I551" s="4"/>
      <c r="J551" s="4"/>
    </row>
    <row r="552" spans="8:10" hidden="1" x14ac:dyDescent="0.25">
      <c r="H552" s="4"/>
      <c r="I552" s="4"/>
      <c r="J552" s="4"/>
    </row>
    <row r="553" spans="8:10" hidden="1" x14ac:dyDescent="0.25">
      <c r="H553" s="4"/>
      <c r="I553" s="4"/>
      <c r="J553" s="4"/>
    </row>
    <row r="554" spans="8:10" hidden="1" x14ac:dyDescent="0.25">
      <c r="H554" s="4"/>
      <c r="I554" s="4"/>
      <c r="J554" s="4"/>
    </row>
    <row r="555" spans="8:10" hidden="1" x14ac:dyDescent="0.25">
      <c r="H555" s="4"/>
      <c r="I555" s="4"/>
      <c r="J555" s="4"/>
    </row>
    <row r="556" spans="8:10" hidden="1" x14ac:dyDescent="0.25">
      <c r="H556" s="4"/>
      <c r="I556" s="4"/>
      <c r="J556" s="4"/>
    </row>
    <row r="557" spans="8:10" hidden="1" x14ac:dyDescent="0.25">
      <c r="H557" s="4"/>
      <c r="I557" s="4"/>
      <c r="J557" s="4"/>
    </row>
    <row r="558" spans="8:10" hidden="1" x14ac:dyDescent="0.25">
      <c r="H558" s="4"/>
      <c r="I558" s="4"/>
      <c r="J558" s="4"/>
    </row>
    <row r="559" spans="8:10" hidden="1" x14ac:dyDescent="0.25">
      <c r="H559" s="4"/>
      <c r="I559" s="4"/>
      <c r="J559" s="4"/>
    </row>
    <row r="560" spans="8:10" hidden="1" x14ac:dyDescent="0.25">
      <c r="H560" s="4"/>
      <c r="I560" s="4"/>
      <c r="J560" s="4"/>
    </row>
    <row r="561" spans="8:10" hidden="1" x14ac:dyDescent="0.25">
      <c r="H561" s="4"/>
      <c r="I561" s="4"/>
      <c r="J561" s="4"/>
    </row>
    <row r="562" spans="8:10" hidden="1" x14ac:dyDescent="0.25">
      <c r="H562" s="4"/>
      <c r="I562" s="4"/>
      <c r="J562" s="4"/>
    </row>
    <row r="563" spans="8:10" hidden="1" x14ac:dyDescent="0.25">
      <c r="H563" s="4"/>
      <c r="I563" s="4"/>
      <c r="J563" s="4"/>
    </row>
    <row r="564" spans="8:10" hidden="1" x14ac:dyDescent="0.25">
      <c r="H564" s="4"/>
      <c r="I564" s="4"/>
      <c r="J564" s="4"/>
    </row>
    <row r="565" spans="8:10" hidden="1" x14ac:dyDescent="0.25">
      <c r="H565" s="4"/>
      <c r="I565" s="4"/>
      <c r="J565" s="4"/>
    </row>
    <row r="566" spans="8:10" hidden="1" x14ac:dyDescent="0.25">
      <c r="H566" s="4"/>
      <c r="I566" s="4"/>
      <c r="J566" s="4"/>
    </row>
    <row r="567" spans="8:10" hidden="1" x14ac:dyDescent="0.25">
      <c r="H567" s="4"/>
      <c r="I567" s="4"/>
      <c r="J567" s="4"/>
    </row>
    <row r="568" spans="8:10" hidden="1" x14ac:dyDescent="0.25">
      <c r="H568" s="4"/>
      <c r="I568" s="4"/>
      <c r="J568" s="4"/>
    </row>
    <row r="569" spans="8:10" hidden="1" x14ac:dyDescent="0.25">
      <c r="H569" s="4"/>
      <c r="I569" s="4"/>
      <c r="J569" s="4"/>
    </row>
    <row r="570" spans="8:10" hidden="1" x14ac:dyDescent="0.25">
      <c r="H570" s="4"/>
      <c r="I570" s="4"/>
      <c r="J570" s="4"/>
    </row>
    <row r="571" spans="8:10" hidden="1" x14ac:dyDescent="0.25">
      <c r="H571" s="4"/>
      <c r="I571" s="4"/>
      <c r="J571" s="4"/>
    </row>
    <row r="572" spans="8:10" hidden="1" x14ac:dyDescent="0.25">
      <c r="H572" s="4"/>
      <c r="I572" s="4"/>
      <c r="J572" s="4"/>
    </row>
    <row r="573" spans="8:10" hidden="1" x14ac:dyDescent="0.25">
      <c r="H573" s="4"/>
      <c r="I573" s="4"/>
      <c r="J573" s="4"/>
    </row>
    <row r="574" spans="8:10" hidden="1" x14ac:dyDescent="0.25">
      <c r="H574" s="4"/>
      <c r="I574" s="4"/>
      <c r="J574" s="4"/>
    </row>
    <row r="575" spans="8:10" hidden="1" x14ac:dyDescent="0.25">
      <c r="H575" s="4"/>
      <c r="I575" s="4"/>
      <c r="J575" s="4"/>
    </row>
    <row r="576" spans="8:10" hidden="1" x14ac:dyDescent="0.25">
      <c r="H576" s="4"/>
      <c r="I576" s="4"/>
      <c r="J576" s="4"/>
    </row>
    <row r="577" spans="8:10" hidden="1" x14ac:dyDescent="0.25">
      <c r="H577" s="4"/>
      <c r="I577" s="4"/>
      <c r="J577" s="4"/>
    </row>
    <row r="578" spans="8:10" hidden="1" x14ac:dyDescent="0.25">
      <c r="H578" s="4"/>
      <c r="I578" s="4"/>
      <c r="J578" s="4"/>
    </row>
    <row r="579" spans="8:10" hidden="1" x14ac:dyDescent="0.25">
      <c r="H579" s="4"/>
      <c r="I579" s="4"/>
      <c r="J579" s="4"/>
    </row>
    <row r="580" spans="8:10" hidden="1" x14ac:dyDescent="0.25">
      <c r="H580" s="4"/>
      <c r="I580" s="4"/>
      <c r="J580" s="4"/>
    </row>
    <row r="581" spans="8:10" hidden="1" x14ac:dyDescent="0.25">
      <c r="H581" s="4"/>
      <c r="I581" s="4"/>
      <c r="J581" s="4"/>
    </row>
    <row r="582" spans="8:10" hidden="1" x14ac:dyDescent="0.25">
      <c r="H582" s="4"/>
      <c r="I582" s="4"/>
      <c r="J582" s="4"/>
    </row>
    <row r="583" spans="8:10" hidden="1" x14ac:dyDescent="0.25">
      <c r="H583" s="4"/>
      <c r="I583" s="4"/>
      <c r="J583" s="4"/>
    </row>
    <row r="584" spans="8:10" hidden="1" x14ac:dyDescent="0.25">
      <c r="H584" s="4"/>
      <c r="I584" s="4"/>
      <c r="J584" s="4"/>
    </row>
    <row r="585" spans="8:10" hidden="1" x14ac:dyDescent="0.25">
      <c r="H585" s="4"/>
      <c r="I585" s="4"/>
      <c r="J585" s="4"/>
    </row>
    <row r="586" spans="8:10" hidden="1" x14ac:dyDescent="0.25">
      <c r="H586" s="4"/>
      <c r="I586" s="4"/>
      <c r="J586" s="4"/>
    </row>
    <row r="587" spans="8:10" hidden="1" x14ac:dyDescent="0.25">
      <c r="H587" s="4"/>
      <c r="I587" s="4"/>
      <c r="J587" s="4"/>
    </row>
    <row r="588" spans="8:10" hidden="1" x14ac:dyDescent="0.25">
      <c r="H588" s="4"/>
      <c r="I588" s="4"/>
      <c r="J588" s="4"/>
    </row>
    <row r="589" spans="8:10" hidden="1" x14ac:dyDescent="0.25">
      <c r="H589" s="4"/>
      <c r="I589" s="4"/>
      <c r="J589" s="4"/>
    </row>
    <row r="590" spans="8:10" hidden="1" x14ac:dyDescent="0.25">
      <c r="H590" s="4"/>
      <c r="I590" s="4"/>
      <c r="J590" s="4"/>
    </row>
    <row r="591" spans="8:10" hidden="1" x14ac:dyDescent="0.25">
      <c r="H591" s="4"/>
      <c r="I591" s="4"/>
      <c r="J591" s="4"/>
    </row>
    <row r="592" spans="8:10" hidden="1" x14ac:dyDescent="0.25">
      <c r="H592" s="4"/>
      <c r="I592" s="4"/>
      <c r="J592" s="4"/>
    </row>
    <row r="593" spans="8:10" hidden="1" x14ac:dyDescent="0.25">
      <c r="H593" s="4"/>
      <c r="I593" s="4"/>
      <c r="J593" s="4"/>
    </row>
    <row r="594" spans="8:10" hidden="1" x14ac:dyDescent="0.25">
      <c r="H594" s="4"/>
      <c r="I594" s="4"/>
      <c r="J594" s="4"/>
    </row>
    <row r="595" spans="8:10" hidden="1" x14ac:dyDescent="0.25">
      <c r="H595" s="4"/>
      <c r="I595" s="4"/>
      <c r="J595" s="4"/>
    </row>
    <row r="596" spans="8:10" hidden="1" x14ac:dyDescent="0.25">
      <c r="H596" s="4"/>
      <c r="I596" s="4"/>
      <c r="J596" s="4"/>
    </row>
    <row r="597" spans="8:10" hidden="1" x14ac:dyDescent="0.25">
      <c r="H597" s="4"/>
      <c r="I597" s="4"/>
      <c r="J597" s="4"/>
    </row>
    <row r="598" spans="8:10" hidden="1" x14ac:dyDescent="0.25">
      <c r="H598" s="4"/>
      <c r="I598" s="4"/>
      <c r="J598" s="4"/>
    </row>
    <row r="599" spans="8:10" hidden="1" x14ac:dyDescent="0.25">
      <c r="H599" s="4"/>
      <c r="I599" s="4"/>
      <c r="J599" s="4"/>
    </row>
    <row r="600" spans="8:10" hidden="1" x14ac:dyDescent="0.25">
      <c r="H600" s="4"/>
      <c r="I600" s="4"/>
      <c r="J600" s="4"/>
    </row>
    <row r="601" spans="8:10" hidden="1" x14ac:dyDescent="0.25">
      <c r="H601" s="4"/>
      <c r="I601" s="4"/>
      <c r="J601" s="4"/>
    </row>
    <row r="602" spans="8:10" hidden="1" x14ac:dyDescent="0.25">
      <c r="H602" s="4"/>
      <c r="I602" s="4"/>
      <c r="J602" s="4"/>
    </row>
    <row r="603" spans="8:10" hidden="1" x14ac:dyDescent="0.25">
      <c r="H603" s="4"/>
      <c r="I603" s="4"/>
      <c r="J603" s="4"/>
    </row>
    <row r="604" spans="8:10" hidden="1" x14ac:dyDescent="0.25">
      <c r="H604" s="4"/>
      <c r="I604" s="4"/>
      <c r="J604" s="4"/>
    </row>
    <row r="605" spans="8:10" hidden="1" x14ac:dyDescent="0.25">
      <c r="H605" s="4"/>
      <c r="I605" s="4"/>
      <c r="J605" s="4"/>
    </row>
    <row r="606" spans="8:10" hidden="1" x14ac:dyDescent="0.25">
      <c r="H606" s="4"/>
      <c r="I606" s="4"/>
      <c r="J606" s="4"/>
    </row>
    <row r="607" spans="8:10" hidden="1" x14ac:dyDescent="0.25">
      <c r="H607" s="4"/>
      <c r="I607" s="4"/>
      <c r="J607" s="4"/>
    </row>
    <row r="608" spans="8:10" hidden="1" x14ac:dyDescent="0.25">
      <c r="H608" s="4"/>
      <c r="I608" s="4"/>
      <c r="J608" s="4"/>
    </row>
    <row r="609" spans="8:10" hidden="1" x14ac:dyDescent="0.25">
      <c r="H609" s="4"/>
      <c r="I609" s="4"/>
      <c r="J609" s="4"/>
    </row>
    <row r="610" spans="8:10" hidden="1" x14ac:dyDescent="0.25">
      <c r="H610" s="4"/>
      <c r="I610" s="4"/>
      <c r="J610" s="4"/>
    </row>
    <row r="611" spans="8:10" hidden="1" x14ac:dyDescent="0.25">
      <c r="H611" s="4"/>
      <c r="I611" s="4"/>
      <c r="J611" s="4"/>
    </row>
    <row r="612" spans="8:10" hidden="1" x14ac:dyDescent="0.25">
      <c r="H612" s="4"/>
      <c r="I612" s="4"/>
      <c r="J612" s="4"/>
    </row>
    <row r="613" spans="8:10" hidden="1" x14ac:dyDescent="0.25">
      <c r="H613" s="4"/>
      <c r="I613" s="4"/>
      <c r="J613" s="4"/>
    </row>
    <row r="614" spans="8:10" hidden="1" x14ac:dyDescent="0.25">
      <c r="H614" s="4"/>
      <c r="I614" s="4"/>
      <c r="J614" s="4"/>
    </row>
    <row r="615" spans="8:10" hidden="1" x14ac:dyDescent="0.25">
      <c r="H615" s="4"/>
      <c r="I615" s="4"/>
      <c r="J615" s="4"/>
    </row>
    <row r="616" spans="8:10" hidden="1" x14ac:dyDescent="0.25">
      <c r="H616" s="4"/>
      <c r="I616" s="4"/>
      <c r="J616" s="4"/>
    </row>
    <row r="617" spans="8:10" hidden="1" x14ac:dyDescent="0.25">
      <c r="H617" s="4"/>
      <c r="I617" s="4"/>
      <c r="J617" s="4"/>
    </row>
    <row r="618" spans="8:10" hidden="1" x14ac:dyDescent="0.25">
      <c r="H618" s="4"/>
      <c r="I618" s="4"/>
      <c r="J618" s="4"/>
    </row>
    <row r="619" spans="8:10" hidden="1" x14ac:dyDescent="0.25">
      <c r="H619" s="4"/>
      <c r="I619" s="4"/>
      <c r="J619" s="4"/>
    </row>
    <row r="620" spans="8:10" hidden="1" x14ac:dyDescent="0.25">
      <c r="H620" s="4"/>
      <c r="I620" s="4"/>
      <c r="J620" s="4"/>
    </row>
    <row r="621" spans="8:10" hidden="1" x14ac:dyDescent="0.25">
      <c r="H621" s="4"/>
      <c r="I621" s="4"/>
      <c r="J621" s="4"/>
    </row>
    <row r="622" spans="8:10" hidden="1" x14ac:dyDescent="0.25">
      <c r="H622" s="4"/>
      <c r="I622" s="4"/>
      <c r="J622" s="4"/>
    </row>
    <row r="623" spans="8:10" hidden="1" x14ac:dyDescent="0.25">
      <c r="H623" s="4"/>
      <c r="I623" s="4"/>
      <c r="J623" s="4"/>
    </row>
    <row r="624" spans="8:10" hidden="1" x14ac:dyDescent="0.25">
      <c r="H624" s="4"/>
      <c r="I624" s="4"/>
      <c r="J624" s="4"/>
    </row>
    <row r="625" spans="8:10" hidden="1" x14ac:dyDescent="0.25">
      <c r="H625" s="4"/>
      <c r="I625" s="4"/>
      <c r="J625" s="4"/>
    </row>
    <row r="626" spans="8:10" hidden="1" x14ac:dyDescent="0.25">
      <c r="H626" s="4"/>
      <c r="I626" s="4"/>
      <c r="J626" s="4"/>
    </row>
    <row r="627" spans="8:10" hidden="1" x14ac:dyDescent="0.25">
      <c r="H627" s="4"/>
      <c r="I627" s="4"/>
      <c r="J627" s="4"/>
    </row>
    <row r="628" spans="8:10" hidden="1" x14ac:dyDescent="0.25">
      <c r="H628" s="4"/>
      <c r="I628" s="4"/>
      <c r="J628" s="4"/>
    </row>
    <row r="629" spans="8:10" hidden="1" x14ac:dyDescent="0.25">
      <c r="H629" s="4"/>
      <c r="I629" s="4"/>
      <c r="J629" s="4"/>
    </row>
    <row r="630" spans="8:10" hidden="1" x14ac:dyDescent="0.25">
      <c r="H630" s="4"/>
      <c r="I630" s="4"/>
      <c r="J630" s="4"/>
    </row>
    <row r="631" spans="8:10" hidden="1" x14ac:dyDescent="0.25">
      <c r="H631" s="4"/>
      <c r="I631" s="4"/>
      <c r="J631" s="4"/>
    </row>
    <row r="632" spans="8:10" hidden="1" x14ac:dyDescent="0.25">
      <c r="H632" s="4"/>
      <c r="I632" s="4"/>
      <c r="J632" s="4"/>
    </row>
    <row r="633" spans="8:10" hidden="1" x14ac:dyDescent="0.25">
      <c r="H633" s="4"/>
      <c r="I633" s="4"/>
      <c r="J633" s="4"/>
    </row>
    <row r="634" spans="8:10" hidden="1" x14ac:dyDescent="0.25">
      <c r="H634" s="4"/>
      <c r="I634" s="4"/>
      <c r="J634" s="4"/>
    </row>
    <row r="635" spans="8:10" hidden="1" x14ac:dyDescent="0.25">
      <c r="H635" s="4"/>
      <c r="I635" s="4"/>
      <c r="J635" s="4"/>
    </row>
    <row r="636" spans="8:10" hidden="1" x14ac:dyDescent="0.25">
      <c r="H636" s="4"/>
      <c r="I636" s="4"/>
      <c r="J636" s="4"/>
    </row>
    <row r="637" spans="8:10" hidden="1" x14ac:dyDescent="0.25">
      <c r="H637" s="4"/>
      <c r="I637" s="4"/>
      <c r="J637" s="4"/>
    </row>
    <row r="638" spans="8:10" hidden="1" x14ac:dyDescent="0.25">
      <c r="H638" s="4"/>
      <c r="I638" s="4"/>
      <c r="J638" s="4"/>
    </row>
    <row r="639" spans="8:10" hidden="1" x14ac:dyDescent="0.25">
      <c r="H639" s="4"/>
      <c r="I639" s="4"/>
      <c r="J639" s="4"/>
    </row>
    <row r="640" spans="8:10" hidden="1" x14ac:dyDescent="0.25">
      <c r="H640" s="4"/>
      <c r="I640" s="4"/>
      <c r="J640" s="4"/>
    </row>
    <row r="641" spans="8:10" hidden="1" x14ac:dyDescent="0.25">
      <c r="H641" s="4"/>
      <c r="I641" s="4"/>
      <c r="J641" s="4"/>
    </row>
    <row r="642" spans="8:10" hidden="1" x14ac:dyDescent="0.25">
      <c r="H642" s="4"/>
      <c r="I642" s="4"/>
      <c r="J642" s="4"/>
    </row>
    <row r="643" spans="8:10" hidden="1" x14ac:dyDescent="0.25">
      <c r="H643" s="4"/>
      <c r="I643" s="4"/>
      <c r="J643" s="4"/>
    </row>
  </sheetData>
  <sheetProtection sheet="1" selectLockedCells="1"/>
  <mergeCells count="24">
    <mergeCell ref="A23:T23"/>
    <mergeCell ref="A12:F13"/>
    <mergeCell ref="H12:M13"/>
    <mergeCell ref="O12:T13"/>
    <mergeCell ref="B7:E7"/>
    <mergeCell ref="B10:E10"/>
    <mergeCell ref="B8:E8"/>
    <mergeCell ref="B9:E9"/>
    <mergeCell ref="L10:O10"/>
    <mergeCell ref="F7:I7"/>
    <mergeCell ref="F10:I10"/>
    <mergeCell ref="F8:I8"/>
    <mergeCell ref="F9:I9"/>
    <mergeCell ref="P7:S7"/>
    <mergeCell ref="P8:S8"/>
    <mergeCell ref="P9:S9"/>
    <mergeCell ref="A1:T3"/>
    <mergeCell ref="A4:T4"/>
    <mergeCell ref="B6:I6"/>
    <mergeCell ref="P10:S10"/>
    <mergeCell ref="L6:S6"/>
    <mergeCell ref="L7:O7"/>
    <mergeCell ref="L8:O8"/>
    <mergeCell ref="L9:O9"/>
  </mergeCells>
  <conditionalFormatting sqref="H12:M13">
    <cfRule type="containsText" dxfId="11" priority="3" operator="containsText" text="RUIM">
      <formula>NOT(ISERROR(SEARCH("RUIM",H12)))</formula>
    </cfRule>
    <cfRule type="containsText" dxfId="10" priority="4" operator="containsText" text="NORMAL">
      <formula>NOT(ISERROR(SEARCH("NORMAL",H12)))</formula>
    </cfRule>
    <cfRule type="containsText" dxfId="9" priority="5" operator="containsText" text="BOM">
      <formula>NOT(ISERROR(SEARCH("BOM",H12)))</formula>
    </cfRule>
    <cfRule type="containsText" dxfId="8" priority="6" operator="containsText" text="ÓTIMO">
      <formula>NOT(ISERROR(SEARCH("ÓTIMO",H12)))</formula>
    </cfRule>
    <cfRule type="containsText" dxfId="7" priority="7" operator="containsText" text="ÓTIMA">
      <formula>NOT(ISERROR(SEARCH("ÓTIMA",H12)))</formula>
    </cfRule>
    <cfRule type="containsText" dxfId="6" priority="8" operator="containsText" text="EXCELENTE">
      <formula>NOT(ISERROR(SEARCH("EXCELENTE",H12)))</formula>
    </cfRule>
    <cfRule type="containsText" dxfId="5" priority="9" operator="containsText" text="FENÔMENO">
      <formula>NOT(ISERROR(SEARCH("FENÔMENO",H12)))</formula>
    </cfRule>
  </conditionalFormatting>
  <conditionalFormatting sqref="O12:T13">
    <cfRule type="containsText" dxfId="4" priority="1" operator="containsText" text="GASTE">
      <formula>NOT(ISERROR(SEARCH("GASTE",O12)))</formula>
    </cfRule>
    <cfRule type="containsText" dxfId="3" priority="2" operator="containsText" text="TESTE">
      <formula>NOT(ISERROR(SEARCH("TESTE",O12)))</formula>
    </cfRule>
  </conditionalFormatting>
  <conditionalFormatting sqref="P10">
    <cfRule type="cellIs" dxfId="2" priority="11" operator="lessThan">
      <formula>0.95</formula>
    </cfRule>
    <cfRule type="cellIs" dxfId="1" priority="12" operator="between">
      <formula>0.95</formula>
      <formula>0.97</formula>
    </cfRule>
    <cfRule type="cellIs" dxfId="0" priority="13" operator="greaterThan">
      <formula>0.97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BRUTOS</vt:lpstr>
      <vt:lpstr>CURVAS</vt:lpstr>
      <vt:lpstr>SIMULADOR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Thallyson Souza</dc:creator>
  <cp:lastModifiedBy>Thallyson Souza</cp:lastModifiedBy>
  <dcterms:created xsi:type="dcterms:W3CDTF">2026-06-18T22:49:46Z</dcterms:created>
  <dcterms:modified xsi:type="dcterms:W3CDTF">2026-06-22T11:27:44Z</dcterms:modified>
</cp:coreProperties>
</file>